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ities" sheetId="3" state="visible" r:id="rId3"/>
    <sheet xmlns:r="http://schemas.openxmlformats.org/officeDocument/2006/relationships" name="WTE_plants" sheetId="4" state="visible" r:id="rId4"/>
    <sheet xmlns:r="http://schemas.openxmlformats.org/officeDocument/2006/relationships" name="Recovery_centres" sheetId="5" state="visible" r:id="rId5"/>
    <sheet xmlns:r="http://schemas.openxmlformats.org/officeDocument/2006/relationships" name="Landfills" sheetId="6" state="visible" r:id="rId6"/>
    <sheet xmlns:r="http://schemas.openxmlformats.org/officeDocument/2006/relationships" name="Plant_classes" sheetId="7" state="visible" r:id="rId7"/>
    <sheet xmlns:r="http://schemas.openxmlformats.org/officeDocument/2006/relationships" name="Recovery_classes" sheetId="8" state="visible" r:id="rId8"/>
    <sheet xmlns:r="http://schemas.openxmlformats.org/officeDocument/2006/relationships" name="Plant_fixed_cost" sheetId="9" state="visible" r:id="rId9"/>
    <sheet xmlns:r="http://schemas.openxmlformats.org/officeDocument/2006/relationships" name="Recovery_fixed_cost" sheetId="10" state="visible" r:id="rId10"/>
    <sheet xmlns:r="http://schemas.openxmlformats.org/officeDocument/2006/relationships" name="Dist_city_plant" sheetId="11" state="visible" r:id="rId11"/>
    <sheet xmlns:r="http://schemas.openxmlformats.org/officeDocument/2006/relationships" name="Dist_city_landfill" sheetId="12" state="visible" r:id="rId12"/>
    <sheet xmlns:r="http://schemas.openxmlformats.org/officeDocument/2006/relationships" name="Dist_plant_landfill" sheetId="13" state="visible" r:id="rId13"/>
    <sheet xmlns:r="http://schemas.openxmlformats.org/officeDocument/2006/relationships" name="Dist_city_recovery" sheetId="14" state="visible" r:id="rId14"/>
    <sheet xmlns:r="http://schemas.openxmlformats.org/officeDocument/2006/relationships" name="Dist_recovery_plant" sheetId="15" state="visible" r:id="rId15"/>
    <sheet xmlns:r="http://schemas.openxmlformats.org/officeDocument/2006/relationships" name="Dist_recovery_landfill" sheetId="16" state="visible" r:id="rId16"/>
  </sheets>
  <definedNames>
    <definedName name="eps_g">Scalars!$B$18</definedName>
    <definedName name="etabar">Scalars!$B$16</definedName>
    <definedName name="_xlnm.Print_Titles" localSheetId="0">'Readme'!$1:$1</definedName>
    <definedName name="_xlnm._FilterDatabase" localSheetId="1" hidden="1">'Scalars'!$A$1:$D$25</definedName>
    <definedName name="_xlnm.Print_Titles" localSheetId="1">'Scalars'!$1:$1</definedName>
    <definedName name="_xlnm._FilterDatabase" localSheetId="2" hidden="1">'Cities'!$A$1:$M$41</definedName>
    <definedName name="_xlnm.Print_Titles" localSheetId="2">'Cities'!$1:$1</definedName>
    <definedName name="_xlnm._FilterDatabase" localSheetId="3" hidden="1">'WTE_plants'!$A$1:$G$11</definedName>
    <definedName name="_xlnm.Print_Titles" localSheetId="3">'WTE_plants'!$1:$1</definedName>
    <definedName name="_xlnm._FilterDatabase" localSheetId="4" hidden="1">'Recovery_centres'!$A$1:$G$7</definedName>
    <definedName name="_xlnm.Print_Titles" localSheetId="4">'Recovery_centres'!$1:$1</definedName>
    <definedName name="_xlnm._FilterDatabase" localSheetId="5" hidden="1">'Landfills'!$A$1:$G$4</definedName>
    <definedName name="_xlnm.Print_Titles" localSheetId="5">'Landfills'!$1:$1</definedName>
    <definedName name="_xlnm._FilterDatabase" localSheetId="6" hidden="1">'Plant_classes'!$A$1:$G$6</definedName>
    <definedName name="_xlnm.Print_Titles" localSheetId="6">'Plant_classes'!$1:$1</definedName>
    <definedName name="_xlnm._FilterDatabase" localSheetId="7" hidden="1">'Recovery_classes'!$A$1:$F$4</definedName>
    <definedName name="_xlnm.Print_Titles" localSheetId="7">'Recovery_classes'!$1:$1</definedName>
    <definedName name="_xlnm._FilterDatabase" localSheetId="8" hidden="1">'Plant_fixed_cost'!$A$2:$F$12</definedName>
    <definedName name="_xlnm.Print_Titles" localSheetId="8">'Plant_fixed_cost'!$1:$1</definedName>
    <definedName name="_xlnm._FilterDatabase" localSheetId="9" hidden="1">'Recovery_fixed_cost'!$A$2:$D$8</definedName>
    <definedName name="_xlnm.Print_Titles" localSheetId="9">'Recovery_fixed_cost'!$1:$1</definedName>
    <definedName name="_xlnm._FilterDatabase" localSheetId="10" hidden="1">'Dist_city_plant'!$A$2:$K$42</definedName>
    <definedName name="_xlnm.Print_Titles" localSheetId="10">'Dist_city_plant'!$1:$2</definedName>
    <definedName name="_xlnm._FilterDatabase" localSheetId="11" hidden="1">'Dist_city_landfill'!$A$2:$D$42</definedName>
    <definedName name="_xlnm.Print_Titles" localSheetId="11">'Dist_city_landfill'!$1:$2</definedName>
    <definedName name="_xlnm._FilterDatabase" localSheetId="12" hidden="1">'Dist_plant_landfill'!$A$2:$D$12</definedName>
    <definedName name="_xlnm.Print_Titles" localSheetId="12">'Dist_plant_landfill'!$1:$2</definedName>
    <definedName name="_xlnm._FilterDatabase" localSheetId="13" hidden="1">'Dist_city_recovery'!$A$2:$G$42</definedName>
    <definedName name="_xlnm.Print_Titles" localSheetId="13">'Dist_city_recovery'!$1:$2</definedName>
    <definedName name="_xlnm._FilterDatabase" localSheetId="14" hidden="1">'Dist_recovery_plant'!$A$2:$K$8</definedName>
    <definedName name="_xlnm.Print_Titles" localSheetId="14">'Dist_recovery_plant'!$1:$2</definedName>
    <definedName name="_xlnm._FilterDatabase" localSheetId="15" hidden="1">'Dist_recovery_landfill'!$A$2:$D$8</definedName>
    <definedName name="_xlnm.Print_Titles" localSheetId="15">'Dist_recovery_landfill'!$1:$2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i val="1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11" fontId="2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8"/>
  <sheetViews>
    <sheetView showGridLines="0" tabSelected="1" workbookViewId="0">
      <selection activeCell="A5" sqref="A5:B5"/>
    </sheetView>
  </sheetViews>
  <sheetFormatPr baseColWidth="8" defaultRowHeight="14.4"/>
  <cols>
    <col width="28" customWidth="1" style="19" min="1" max="1"/>
    <col width="110" customWidth="1" style="19" min="2" max="2"/>
  </cols>
  <sheetData>
    <row r="1" ht="24" customHeight="1" s="19">
      <c r="A1" s="20" t="inlineStr">
        <is>
          <t>Shanghai waste-to-energy instance</t>
        </is>
      </c>
    </row>
    <row r="3" ht="48" customHeight="1" s="19">
      <c r="A3" s="18" t="inlineStr">
        <is>
          <t>Data of the deterministic model used in the paper “Resilient waste-to-energy network design under uncertainty: A distributionally robust approach”.</t>
        </is>
      </c>
    </row>
    <row r="4" ht="48" customHeight="1" s="19">
      <c r="A4" s="18" t="inlineStr">
        <is>
          <t>What the deterministic model optimises. Daily waste generation is q_mean, the mean of five draws around q_day = q_year/365. Each draw is q_day times Uniform(0.85, 1.45). The recyclable share rho is one draw from Uniform(0.25, 0.35). Both use the GAMS generator with execseed = 20250811, and rho is drawn before the waste samples. q_day is the central observation; q_mean is the number the deterministic model sees.</t>
        </is>
      </c>
    </row>
    <row r="5" ht="48" customHeight="1" s="19">
      <c r="A5" s="18" t="inlineStr">
        <is>
          <t>Money and distance. Distances are generalised kilometres: road kilometres, plus the estuary crossing already converted into road-equivalent kilometres (road circuity 1.30, barge rate 1.50, and 20 km per crossing). The model therefore keeps circ = 1 and does not apply circuity again. Unit transport cost (RMB per tonne) = 20 + 3.0 × distance.</t>
        </is>
      </c>
    </row>
    <row r="6" ht="48" customHeight="1" s="19">
      <c r="A6" s="18" t="inlineStr">
        <is>
          <t>Fixed cost of a plant of class s at site b is the daily class cost times the site premium pi. The same rule, with its own premium, applies to a recovery centre. Premiums run from 1.40 at the most accessible plant site to 0.60 at the remotest, and from 1.35 to 0.65 for recovery centres.</t>
        </is>
      </c>
    </row>
    <row r="7" ht="48" customHeight="1" s="19">
      <c r="A7" s="18" t="inlineStr">
        <is>
          <t>Yellow cells are inputs taken from the code. White cells with formulas are derived from those inputs. Annual fixed costs are divided by 365 inside the workbook.</t>
        </is>
      </c>
    </row>
    <row r="8" ht="48" customHeight="1" s="19">
      <c r="A8" s="18" t="inlineStr">
        <is>
          <t>The support used only as a big-M bound, and not as data of the deterministic objective, is q_lo = 0.75 × q_day and q_up = 1.60 × q_day. A city may use a recovery centre only when the generalised distance is at most 30 km.</t>
        </is>
      </c>
    </row>
  </sheetData>
  <mergeCells count="7">
    <mergeCell ref="A4:B4"/>
    <mergeCell ref="A7:B7"/>
    <mergeCell ref="A5:B5"/>
    <mergeCell ref="A1:B1"/>
    <mergeCell ref="A8:B8"/>
    <mergeCell ref="A3:B3"/>
    <mergeCell ref="A6:B6"/>
  </mergeCells>
  <pageMargins left="0.75" right="0.75" top="1" bottom="1" header="0.5" footer="0.5"/>
  <pageSetup orientation="landscape" paperSize="9"/>
  <headerFooter>
    <oddHeader/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19" min="1" max="2"/>
    <col width="24" customWidth="1" style="19" min="3" max="3"/>
    <col width="88" customWidth="1" style="19" min="4" max="4"/>
  </cols>
  <sheetData>
    <row r="1" ht="31.95" customHeight="1" s="19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Meaning</t>
        </is>
      </c>
    </row>
    <row r="2" ht="18" customHeight="1" s="19">
      <c r="A2" s="2" t="inlineStr">
        <is>
          <t>p_e</t>
        </is>
      </c>
      <c r="B2" s="3" t="n">
        <v>0.65</v>
      </c>
      <c r="C2" s="4" t="inlineStr">
        <is>
          <t>RMB/kWh</t>
        </is>
      </c>
      <c r="D2" s="4" t="inlineStr">
        <is>
          <t>Electricity price</t>
        </is>
      </c>
    </row>
    <row r="3" ht="18" customHeight="1" s="19">
      <c r="A3" s="2" t="inlineStr">
        <is>
          <t>p_a</t>
        </is>
      </c>
      <c r="B3" s="5" t="n">
        <v>70</v>
      </c>
      <c r="C3" s="4" t="inlineStr">
        <is>
          <t>RMB/t</t>
        </is>
      </c>
      <c r="D3" s="4" t="inlineStr">
        <is>
          <t>Landfill surcharge</t>
        </is>
      </c>
    </row>
    <row r="4" ht="18" customHeight="1" s="19">
      <c r="A4" s="2" t="inlineStr">
        <is>
          <t>p_d</t>
        </is>
      </c>
      <c r="B4" s="5" t="n">
        <v>140</v>
      </c>
      <c r="C4" s="4" t="inlineStr">
        <is>
          <t>RMB/t</t>
        </is>
      </c>
      <c r="D4" s="4" t="inlineStr">
        <is>
          <t>Unit cost of direct disposal of residue at a landfill</t>
        </is>
      </c>
    </row>
    <row r="5" ht="18" customHeight="1" s="19">
      <c r="A5" s="2" t="inlineStr">
        <is>
          <t>r</t>
        </is>
      </c>
      <c r="B5" s="3" t="n">
        <v>0.1</v>
      </c>
      <c r="C5" s="4" t="inlineStr">
        <is>
          <t>fraction per day</t>
        </is>
      </c>
      <c r="D5" s="4" t="inlineStr">
        <is>
          <t>Required rate of return on installed capacity</t>
        </is>
      </c>
    </row>
    <row r="6" ht="18" customHeight="1" s="19">
      <c r="A6" s="2" t="inlineStr">
        <is>
          <t>P</t>
        </is>
      </c>
      <c r="B6" s="5" t="n">
        <v>8</v>
      </c>
      <c r="C6" s="4" t="inlineStr">
        <is>
          <t>plants</t>
        </is>
      </c>
      <c r="D6" s="4" t="inlineStr">
        <is>
          <t>Maximum number of WTE plants that may be opened</t>
        </is>
      </c>
    </row>
    <row r="7" ht="18" customHeight="1" s="19">
      <c r="A7" s="2" t="inlineStr">
        <is>
          <t>P_r</t>
        </is>
      </c>
      <c r="B7" s="5" t="n">
        <v>5</v>
      </c>
      <c r="C7" s="4" t="inlineStr">
        <is>
          <t>centres</t>
        </is>
      </c>
      <c r="D7" s="4" t="inlineStr">
        <is>
          <t>Maximum number of recovery centres that may be opened</t>
        </is>
      </c>
    </row>
    <row r="8" ht="18" customHeight="1" s="19">
      <c r="A8" s="2" t="inlineStr">
        <is>
          <t>p_rec</t>
        </is>
      </c>
      <c r="B8" s="5" t="n">
        <v>420</v>
      </c>
      <c r="C8" s="4" t="inlineStr">
        <is>
          <t>RMB/t</t>
        </is>
      </c>
      <c r="D8" s="4" t="inlineStr">
        <is>
          <t>Selling price of recovered material</t>
        </is>
      </c>
    </row>
    <row r="9" ht="18" customHeight="1" s="19">
      <c r="A9" s="2" t="inlineStr">
        <is>
          <t>delta</t>
        </is>
      </c>
      <c r="B9" s="3" t="n">
        <v>0.15</v>
      </c>
      <c r="C9" s="4" t="inlineStr">
        <is>
          <t>fraction</t>
        </is>
      </c>
      <c r="D9" s="4" t="inlineStr">
        <is>
          <t>Maximum surge, as a fraction of installed plant capacity</t>
        </is>
      </c>
    </row>
    <row r="10" ht="18" customHeight="1" s="19">
      <c r="A10" s="2" t="inlineStr">
        <is>
          <t>c_ov</t>
        </is>
      </c>
      <c r="B10" s="5" t="n">
        <v>60</v>
      </c>
      <c r="C10" s="4" t="inlineStr">
        <is>
          <t>RMB/t</t>
        </is>
      </c>
      <c r="D10" s="4" t="inlineStr">
        <is>
          <t>Premium per tonne processed in surge operation</t>
        </is>
      </c>
    </row>
    <row r="11" ht="18" customHeight="1" s="19">
      <c r="A11" s="2" t="inlineStr">
        <is>
          <t>c_res</t>
        </is>
      </c>
      <c r="B11" s="5" t="n">
        <v>20</v>
      </c>
      <c r="C11" s="4" t="inlineStr">
        <is>
          <t>RMB/t per day</t>
        </is>
      </c>
      <c r="D11" s="4" t="inlineStr">
        <is>
          <t>Reservation price of contracted contingency capacity</t>
        </is>
      </c>
    </row>
    <row r="12" ht="18" customHeight="1" s="19">
      <c r="A12" s="2" t="inlineStr">
        <is>
          <t>c_ex</t>
        </is>
      </c>
      <c r="B12" s="5" t="n">
        <v>220</v>
      </c>
      <c r="C12" s="4" t="inlineStr">
        <is>
          <t>RMB/t</t>
        </is>
      </c>
      <c r="D12" s="4" t="inlineStr">
        <is>
          <t>Exercise price of contracted contingency capacity</t>
        </is>
      </c>
    </row>
    <row r="13" ht="18" customHeight="1" s="19">
      <c r="A13" s="2" t="inlineStr">
        <is>
          <t>tau</t>
        </is>
      </c>
      <c r="B13" s="3" t="n">
        <v>3</v>
      </c>
      <c r="C13" s="4" t="inlineStr">
        <is>
          <t>RMB/t/km</t>
        </is>
      </c>
      <c r="D13" s="4" t="inlineStr">
        <is>
          <t>Line-haul rate</t>
        </is>
      </c>
    </row>
    <row r="14" ht="18" customHeight="1" s="19">
      <c r="A14" s="2" t="inlineStr">
        <is>
          <t>circ</t>
        </is>
      </c>
      <c r="B14" s="3" t="n">
        <v>1</v>
      </c>
      <c r="C14" s="4" t="inlineStr">
        <is>
          <t>dimensionless</t>
        </is>
      </c>
      <c r="D14" s="4" t="inlineStr">
        <is>
          <t>Extra circuity inside GAMS; already applied inside the distances</t>
        </is>
      </c>
    </row>
    <row r="15" ht="18" customHeight="1" s="19">
      <c r="A15" s="2" t="inlineStr">
        <is>
          <t>c_hand</t>
        </is>
      </c>
      <c r="B15" s="5" t="n">
        <v>20</v>
      </c>
      <c r="C15" s="4" t="inlineStr">
        <is>
          <t>RMB/t</t>
        </is>
      </c>
      <c r="D15" s="4" t="inlineStr">
        <is>
          <t>Loading and handling charge</t>
        </is>
      </c>
    </row>
    <row r="16" ht="18" customHeight="1" s="19">
      <c r="A16" s="2" t="inlineStr">
        <is>
          <t>etabar</t>
        </is>
      </c>
      <c r="B16" s="3" t="n">
        <v>0.9</v>
      </c>
      <c r="C16" s="4" t="inlineStr">
        <is>
          <t>fraction</t>
        </is>
      </c>
      <c r="D16" s="4" t="inlineStr">
        <is>
          <t>Share of the recyclable stream a saturated programme can reach</t>
        </is>
      </c>
    </row>
    <row r="17" ht="18" customHeight="1" s="19">
      <c r="A17" s="2" t="inlineStr">
        <is>
          <t>dbar</t>
        </is>
      </c>
      <c r="B17" s="5" t="n">
        <v>30</v>
      </c>
      <c r="C17" s="4" t="inlineStr">
        <is>
          <t>km</t>
        </is>
      </c>
      <c r="D17" s="4" t="inlineStr">
        <is>
          <t>Catchment radius of a recovery centre, in generalised kilometres</t>
        </is>
      </c>
    </row>
    <row r="18" ht="18" customHeight="1" s="19">
      <c r="A18" s="2" t="inlineStr">
        <is>
          <t>eps_g</t>
        </is>
      </c>
      <c r="B18" s="3" t="n">
        <v>0.05</v>
      </c>
      <c r="C18" s="4" t="inlineStr">
        <is>
          <t>fraction</t>
        </is>
      </c>
      <c r="D18" s="4" t="inlineStr">
        <is>
          <t>Saturation tolerance of the participation function</t>
        </is>
      </c>
    </row>
    <row r="19" ht="18" customHeight="1" s="19">
      <c r="A19" s="2" t="inlineStr">
        <is>
          <t>G</t>
        </is>
      </c>
      <c r="B19" s="5" t="n">
        <v>5</v>
      </c>
      <c r="C19" s="4" t="inlineStr">
        <is>
          <t>segments</t>
        </is>
      </c>
      <c r="D19" s="4" t="inlineStr">
        <is>
          <t>Number of segments of the piecewise-linear participation function</t>
        </is>
      </c>
    </row>
    <row r="20" ht="18" customHeight="1" s="19">
      <c r="A20" s="2" t="inlineStr">
        <is>
          <t>seed</t>
        </is>
      </c>
      <c r="B20" s="5" t="n">
        <v>20250811</v>
      </c>
      <c r="C20" s="4" t="inlineStr">
        <is>
          <t>GAMS execseed</t>
        </is>
      </c>
      <c r="D20" s="4" t="inlineStr">
        <is>
          <t>Seed of the recyclable share and of the five waste draws</t>
        </is>
      </c>
    </row>
    <row r="21" ht="18" customHeight="1" s="19">
      <c r="A21" s="2" t="inlineStr">
        <is>
          <t>q_lo_factor</t>
        </is>
      </c>
      <c r="B21" s="3" t="n">
        <v>0.75</v>
      </c>
      <c r="C21" s="4" t="inlineStr">
        <is>
          <t>times q_day</t>
        </is>
      </c>
      <c r="D21" s="4" t="inlineStr">
        <is>
          <t>Lower support, used only as a big-M bound</t>
        </is>
      </c>
    </row>
    <row r="22" ht="18" customHeight="1" s="19">
      <c r="A22" s="2" t="inlineStr">
        <is>
          <t>q_up_factor</t>
        </is>
      </c>
      <c r="B22" s="3" t="n">
        <v>1.6</v>
      </c>
      <c r="C22" s="4" t="inlineStr">
        <is>
          <t>times q_day</t>
        </is>
      </c>
      <c r="D22" s="4" t="inlineStr">
        <is>
          <t>Upper support, used only as a big-M bound</t>
        </is>
      </c>
    </row>
    <row r="23" ht="31.95" customHeight="1" s="19">
      <c r="A23" s="6" t="inlineStr">
        <is>
          <t>marg_e</t>
        </is>
      </c>
      <c r="B23" s="7">
        <f>MAX(Plant_classes!E2*$B$2-Plant_classes!D2,Plant_classes!E3*$B$2-Plant_classes!D3,Plant_classes!E4*$B$2-Plant_classes!D4,Plant_classes!E5*$B$2-Plant_classes!D5,Plant_classes!E6*$B$2-Plant_classes!D6)</f>
        <v/>
      </c>
      <c r="C23" s="4" t="inlineStr">
        <is>
          <t>RMB/t</t>
        </is>
      </c>
      <c r="D23" s="4" t="inlineStr">
        <is>
          <t>Largest energy margin of a plant class, e×p_e − v</t>
        </is>
      </c>
    </row>
    <row r="24" ht="31.95" customHeight="1" s="19">
      <c r="A24" s="6" t="inlineStr">
        <is>
          <t>p_pen</t>
        </is>
      </c>
      <c r="B24" s="8" t="n">
        <v>2697.26</v>
      </c>
      <c r="C24" s="4" t="inlineStr">
        <is>
          <t>RMB/t</t>
        </is>
      </c>
      <c r="D24" s="4" t="inlineStr">
        <is>
          <t>Last-resort outlet. Equals max{4×max(c2 + p_a + v_L), marg_e, recycling margin, 4×c_ex}. Evaluated in GAMS as 2697.26.</t>
        </is>
      </c>
    </row>
    <row r="25" ht="31.95" customHeight="1" s="19">
      <c r="A25" s="6" t="inlineStr">
        <is>
          <t>pi_rec</t>
        </is>
      </c>
      <c r="B25" s="8" t="n">
        <v>300.31</v>
      </c>
      <c r="C25" s="4" t="inlineStr">
        <is>
          <t>RMB/t</t>
        </is>
      </c>
      <c r="D25" s="4" t="inlineStr">
        <is>
          <t>Largest margin on a marketed tonne plus the energy margin. Evaluated in GAMS as 300.31. Used only to keep p_pen above that margin.</t>
        </is>
      </c>
    </row>
  </sheetData>
  <autoFilter ref="A1:D25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9" min="1" max="1"/>
    <col width="16" customWidth="1" style="19" min="2" max="2"/>
    <col width="22" customWidth="1" style="19" min="3" max="3"/>
    <col width="12" customWidth="1" style="19" min="4" max="5"/>
    <col width="22" customWidth="1" style="19" min="6" max="7"/>
    <col width="26" customWidth="1" style="19" min="8" max="8"/>
    <col width="18" customWidth="1" style="19" min="9" max="9"/>
    <col width="28" customWidth="1" style="19" min="10" max="10"/>
    <col width="26" customWidth="1" style="19" min="11" max="11"/>
    <col width="24" customWidth="1" style="19" min="12" max="12"/>
    <col width="26" customWidth="1" style="19" min="13" max="13"/>
  </cols>
  <sheetData>
    <row r="1" ht="31.95" customHeight="1" s="19">
      <c r="A1" s="1" t="inlineStr">
        <is>
          <t>ID</t>
        </is>
      </c>
      <c r="B1" s="1" t="inlineStr">
        <is>
          <t>District</t>
        </is>
      </c>
      <c r="C1" s="1" t="inlineStr">
        <is>
          <t>Place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Landmass</t>
        </is>
      </c>
      <c r="G1" s="1" t="inlineStr">
        <is>
          <t>Annual MSW (t/year)</t>
        </is>
      </c>
      <c r="H1" s="1" t="inlineStr">
        <is>
          <t>Central generation (t/day)</t>
        </is>
      </c>
      <c r="I1" s="1" t="inlineStr">
        <is>
          <t>Recyclable share</t>
        </is>
      </c>
      <c r="J1" s="1" t="inlineStr">
        <is>
          <t>Mean generation used by the model (t/day)</t>
        </is>
      </c>
      <c r="K1" s="1" t="inlineStr">
        <is>
          <t>Responsiveness kappa (1/RMB)</t>
        </is>
      </c>
      <c r="L1" s="1" t="inlineStr">
        <is>
          <t>Saturation budget (RMB/day)</t>
        </is>
      </c>
      <c r="M1" s="1" t="inlineStr">
        <is>
          <t>Participation ceiling (t/day)</t>
        </is>
      </c>
    </row>
    <row r="2" ht="18" customHeight="1" s="19">
      <c r="A2" s="9" t="inlineStr">
        <is>
          <t>i1</t>
        </is>
      </c>
      <c r="B2" s="10" t="inlineStr">
        <is>
          <t>Pu Dong</t>
        </is>
      </c>
      <c r="C2" s="10" t="inlineStr">
        <is>
          <t>Lujiazui</t>
        </is>
      </c>
      <c r="D2" s="11" t="n">
        <v>31.24</v>
      </c>
      <c r="E2" s="11" t="n">
        <v>121.506</v>
      </c>
      <c r="F2" s="10" t="inlineStr">
        <is>
          <t>Shanghai mainland</t>
        </is>
      </c>
      <c r="G2" s="12" t="n">
        <v>74150</v>
      </c>
      <c r="H2" s="13">
        <f>G2/365</f>
        <v/>
      </c>
      <c r="I2" s="11" t="n">
        <v>0.2949717132</v>
      </c>
      <c r="J2" s="14" t="n">
        <v>244.662895707211</v>
      </c>
      <c r="K2" s="15" t="n">
        <v>0.00022</v>
      </c>
      <c r="L2" s="13">
        <f>-LN(eps_g)/K2</f>
        <v/>
      </c>
      <c r="M2" s="13">
        <f>etabar*I2*J2</f>
        <v/>
      </c>
    </row>
    <row r="3" ht="18" customHeight="1" s="19">
      <c r="A3" s="6" t="inlineStr">
        <is>
          <t>i2</t>
        </is>
      </c>
      <c r="B3" s="4" t="inlineStr">
        <is>
          <t>Pu Dong</t>
        </is>
      </c>
      <c r="C3" s="4" t="inlineStr">
        <is>
          <t>Century Park</t>
        </is>
      </c>
      <c r="D3" s="11" t="n">
        <v>31.22</v>
      </c>
      <c r="E3" s="11" t="n">
        <v>121.554</v>
      </c>
      <c r="F3" s="4" t="inlineStr">
        <is>
          <t>Shanghai mainland</t>
        </is>
      </c>
      <c r="G3" s="12" t="n">
        <v>77873</v>
      </c>
      <c r="H3" s="8">
        <f>G3/365</f>
        <v/>
      </c>
      <c r="I3" s="11" t="n">
        <v>0.2855976748</v>
      </c>
      <c r="J3" s="14" t="n">
        <v>271.624106516298</v>
      </c>
      <c r="K3" s="15" t="n">
        <v>0.00026</v>
      </c>
      <c r="L3" s="8">
        <f>-LN(eps_g)/K3</f>
        <v/>
      </c>
      <c r="M3" s="8">
        <f>etabar*I3*J3</f>
        <v/>
      </c>
    </row>
    <row r="4" ht="18" customHeight="1" s="19">
      <c r="A4" s="9" t="inlineStr">
        <is>
          <t>i3</t>
        </is>
      </c>
      <c r="B4" s="10" t="inlineStr">
        <is>
          <t>Pu Dong</t>
        </is>
      </c>
      <c r="C4" s="10" t="inlineStr">
        <is>
          <t>Zhangjiang</t>
        </is>
      </c>
      <c r="D4" s="11" t="n">
        <v>31.205</v>
      </c>
      <c r="E4" s="11" t="n">
        <v>121.596</v>
      </c>
      <c r="F4" s="10" t="inlineStr">
        <is>
          <t>Shanghai mainland</t>
        </is>
      </c>
      <c r="G4" s="12" t="n">
        <v>53984</v>
      </c>
      <c r="H4" s="13">
        <f>G4/365</f>
        <v/>
      </c>
      <c r="I4" s="11" t="n">
        <v>0.3126824636</v>
      </c>
      <c r="J4" s="14" t="n">
        <v>180.922815183206</v>
      </c>
      <c r="K4" s="15" t="n">
        <v>0.0003</v>
      </c>
      <c r="L4" s="13">
        <f>-LN(eps_g)/K4</f>
        <v/>
      </c>
      <c r="M4" s="13">
        <f>etabar*I4*J4</f>
        <v/>
      </c>
    </row>
    <row r="5" ht="18" customHeight="1" s="19">
      <c r="A5" s="6" t="inlineStr">
        <is>
          <t>i4</t>
        </is>
      </c>
      <c r="B5" s="4" t="inlineStr">
        <is>
          <t>Pu Dong</t>
        </is>
      </c>
      <c r="C5" s="4" t="inlineStr">
        <is>
          <t>Jinqiao</t>
        </is>
      </c>
      <c r="D5" s="11" t="n">
        <v>31.26</v>
      </c>
      <c r="E5" s="11" t="n">
        <v>121.59</v>
      </c>
      <c r="F5" s="4" t="inlineStr">
        <is>
          <t>Shanghai mainland</t>
        </is>
      </c>
      <c r="G5" s="12" t="n">
        <v>65618</v>
      </c>
      <c r="H5" s="8">
        <f>G5/365</f>
        <v/>
      </c>
      <c r="I5" s="11" t="n">
        <v>0.3354844234</v>
      </c>
      <c r="J5" s="14" t="n">
        <v>215.915014822574</v>
      </c>
      <c r="K5" s="15" t="n">
        <v>0.00024</v>
      </c>
      <c r="L5" s="8">
        <f>-LN(eps_g)/K5</f>
        <v/>
      </c>
      <c r="M5" s="8">
        <f>etabar*I5*J5</f>
        <v/>
      </c>
    </row>
    <row r="6" ht="18" customHeight="1" s="19">
      <c r="A6" s="9" t="inlineStr">
        <is>
          <t>i5</t>
        </is>
      </c>
      <c r="B6" s="10" t="inlineStr">
        <is>
          <t>Pu Dong</t>
        </is>
      </c>
      <c r="C6" s="10" t="inlineStr">
        <is>
          <t>Chuansha</t>
        </is>
      </c>
      <c r="D6" s="11" t="n">
        <v>31.19</v>
      </c>
      <c r="E6" s="11" t="n">
        <v>121.69</v>
      </c>
      <c r="F6" s="10" t="inlineStr">
        <is>
          <t>Shanghai mainland</t>
        </is>
      </c>
      <c r="G6" s="12" t="n">
        <v>56621</v>
      </c>
      <c r="H6" s="13">
        <f>G6/365</f>
        <v/>
      </c>
      <c r="I6" s="11" t="n">
        <v>0.2534883897</v>
      </c>
      <c r="J6" s="14" t="n">
        <v>185.410059947231</v>
      </c>
      <c r="K6" s="15" t="n">
        <v>0.00021</v>
      </c>
      <c r="L6" s="13">
        <f>-LN(eps_g)/K6</f>
        <v/>
      </c>
      <c r="M6" s="13">
        <f>etabar*I6*J6</f>
        <v/>
      </c>
    </row>
    <row r="7" ht="18" customHeight="1" s="19">
      <c r="A7" s="6" t="inlineStr">
        <is>
          <t>i6</t>
        </is>
      </c>
      <c r="B7" s="4" t="inlineStr">
        <is>
          <t>Pu Dong</t>
        </is>
      </c>
      <c r="C7" s="4" t="inlineStr">
        <is>
          <t>Huinan / Nanhui</t>
        </is>
      </c>
      <c r="D7" s="11" t="n">
        <v>31.05</v>
      </c>
      <c r="E7" s="11" t="n">
        <v>121.76</v>
      </c>
      <c r="F7" s="4" t="inlineStr">
        <is>
          <t>Shanghai mainland</t>
        </is>
      </c>
      <c r="G7" s="12" t="n">
        <v>88421</v>
      </c>
      <c r="H7" s="8">
        <f>G7/365</f>
        <v/>
      </c>
      <c r="I7" s="11" t="n">
        <v>0.3476167627</v>
      </c>
      <c r="J7" s="14" t="n">
        <v>285.158754637109</v>
      </c>
      <c r="K7" s="15" t="n">
        <v>0.00028</v>
      </c>
      <c r="L7" s="8">
        <f>-LN(eps_g)/K7</f>
        <v/>
      </c>
      <c r="M7" s="8">
        <f>etabar*I7*J7</f>
        <v/>
      </c>
    </row>
    <row r="8" ht="18" customHeight="1" s="19">
      <c r="A8" s="9" t="inlineStr">
        <is>
          <t>i7</t>
        </is>
      </c>
      <c r="B8" s="10" t="inlineStr">
        <is>
          <t>Huang Pu</t>
        </is>
      </c>
      <c r="C8" s="10" t="n"/>
      <c r="D8" s="11" t="n">
        <v>31.22</v>
      </c>
      <c r="E8" s="11" t="n">
        <v>121.49</v>
      </c>
      <c r="F8" s="10" t="inlineStr">
        <is>
          <t>Shanghai mainland</t>
        </is>
      </c>
      <c r="G8" s="12" t="n">
        <v>75236</v>
      </c>
      <c r="H8" s="13">
        <f>G8/365</f>
        <v/>
      </c>
      <c r="I8" s="11" t="n">
        <v>0.3387152764</v>
      </c>
      <c r="J8" s="14" t="n">
        <v>225.975356217313</v>
      </c>
      <c r="K8" s="15" t="n">
        <v>0.00025</v>
      </c>
      <c r="L8" s="13">
        <f>-LN(eps_g)/K8</f>
        <v/>
      </c>
      <c r="M8" s="13">
        <f>etabar*I8*J8</f>
        <v/>
      </c>
    </row>
    <row r="9" ht="18" customHeight="1" s="19">
      <c r="A9" s="6" t="inlineStr">
        <is>
          <t>i8</t>
        </is>
      </c>
      <c r="B9" s="4" t="inlineStr">
        <is>
          <t>Lu Wan</t>
        </is>
      </c>
      <c r="C9" s="4" t="n"/>
      <c r="D9" s="11" t="n">
        <v>31.213</v>
      </c>
      <c r="E9" s="11" t="n">
        <v>121.475</v>
      </c>
      <c r="F9" s="4" t="inlineStr">
        <is>
          <t>Shanghai mainland</t>
        </is>
      </c>
      <c r="G9" s="12" t="n">
        <v>73684</v>
      </c>
      <c r="H9" s="8">
        <f>G9/365</f>
        <v/>
      </c>
      <c r="I9" s="11" t="n">
        <v>0.2847771267</v>
      </c>
      <c r="J9" s="14" t="n">
        <v>231.463480457875</v>
      </c>
      <c r="K9" s="15" t="n">
        <v>0.00023</v>
      </c>
      <c r="L9" s="8">
        <f>-LN(eps_g)/K9</f>
        <v/>
      </c>
      <c r="M9" s="8">
        <f>etabar*I9*J9</f>
        <v/>
      </c>
    </row>
    <row r="10" ht="18" customHeight="1" s="19">
      <c r="A10" s="9" t="inlineStr">
        <is>
          <t>i9</t>
        </is>
      </c>
      <c r="B10" s="10" t="inlineStr">
        <is>
          <t>Xu Hui</t>
        </is>
      </c>
      <c r="C10" s="10" t="n"/>
      <c r="D10" s="11" t="n">
        <v>31.1885</v>
      </c>
      <c r="E10" s="11" t="n">
        <v>121.4368</v>
      </c>
      <c r="F10" s="10" t="inlineStr">
        <is>
          <t>Shanghai mainland</t>
        </is>
      </c>
      <c r="G10" s="12" t="n">
        <v>65618</v>
      </c>
      <c r="H10" s="13">
        <f>G10/365</f>
        <v/>
      </c>
      <c r="I10" s="11" t="n">
        <v>0.3016325173</v>
      </c>
      <c r="J10" s="14" t="n">
        <v>220.142961309602</v>
      </c>
      <c r="K10" s="15" t="n">
        <v>0.00029</v>
      </c>
      <c r="L10" s="13">
        <f>-LN(eps_g)/K10</f>
        <v/>
      </c>
      <c r="M10" s="13">
        <f>etabar*I10*J10</f>
        <v/>
      </c>
    </row>
    <row r="11" ht="18" customHeight="1" s="19">
      <c r="A11" s="6" t="inlineStr">
        <is>
          <t>i10</t>
        </is>
      </c>
      <c r="B11" s="4" t="inlineStr">
        <is>
          <t>Chang Ning</t>
        </is>
      </c>
      <c r="C11" s="4" t="n"/>
      <c r="D11" s="11" t="n">
        <v>31.218</v>
      </c>
      <c r="E11" s="11" t="n">
        <v>121.4245</v>
      </c>
      <c r="F11" s="4" t="inlineStr">
        <is>
          <t>Shanghai mainland</t>
        </is>
      </c>
      <c r="G11" s="12" t="n">
        <v>52432</v>
      </c>
      <c r="H11" s="8">
        <f>G11/365</f>
        <v/>
      </c>
      <c r="I11" s="11" t="n">
        <v>0.2899385379</v>
      </c>
      <c r="J11" s="14" t="n">
        <v>164.061802106493</v>
      </c>
      <c r="K11" s="15" t="n">
        <v>0.0002700000000000001</v>
      </c>
      <c r="L11" s="8">
        <f>-LN(eps_g)/K11</f>
        <v/>
      </c>
      <c r="M11" s="8">
        <f>etabar*I11*J11</f>
        <v/>
      </c>
    </row>
    <row r="12" ht="18" customHeight="1" s="19">
      <c r="A12" s="9" t="inlineStr">
        <is>
          <t>i11</t>
        </is>
      </c>
      <c r="B12" s="10" t="inlineStr">
        <is>
          <t>Jing An</t>
        </is>
      </c>
      <c r="C12" s="10" t="n"/>
      <c r="D12" s="11" t="n">
        <v>31.229</v>
      </c>
      <c r="E12" s="11" t="n">
        <v>121.448</v>
      </c>
      <c r="F12" s="10" t="inlineStr">
        <is>
          <t>Shanghai mainland</t>
        </is>
      </c>
      <c r="G12" s="12" t="n">
        <v>54604</v>
      </c>
      <c r="H12" s="13">
        <f>G12/365</f>
        <v/>
      </c>
      <c r="I12" s="11" t="n">
        <v>0.2768197017</v>
      </c>
      <c r="J12" s="14" t="n">
        <v>179.073219821408</v>
      </c>
      <c r="K12" s="15" t="n">
        <v>0.00022</v>
      </c>
      <c r="L12" s="13">
        <f>-LN(eps_g)/K12</f>
        <v/>
      </c>
      <c r="M12" s="13">
        <f>etabar*I12*J12</f>
        <v/>
      </c>
    </row>
    <row r="13" ht="18" customHeight="1" s="19">
      <c r="A13" s="6" t="inlineStr">
        <is>
          <t>i12</t>
        </is>
      </c>
      <c r="B13" s="4" t="inlineStr">
        <is>
          <t>Pu Tuo</t>
        </is>
      </c>
      <c r="C13" s="4" t="inlineStr">
        <is>
          <t>Zhenru</t>
        </is>
      </c>
      <c r="D13" s="11" t="n">
        <v>31.26</v>
      </c>
      <c r="E13" s="11" t="n">
        <v>121.4</v>
      </c>
      <c r="F13" s="4" t="inlineStr">
        <is>
          <t>Shanghai mainland</t>
        </is>
      </c>
      <c r="G13" s="12" t="n">
        <v>39247</v>
      </c>
      <c r="H13" s="8">
        <f>G13/365</f>
        <v/>
      </c>
      <c r="I13" s="11" t="n">
        <v>0.2980798798</v>
      </c>
      <c r="J13" s="14" t="n">
        <v>124.60721947615</v>
      </c>
      <c r="K13" s="15" t="n">
        <v>0.00026</v>
      </c>
      <c r="L13" s="8">
        <f>-LN(eps_g)/K13</f>
        <v/>
      </c>
      <c r="M13" s="8">
        <f>etabar*I13*J13</f>
        <v/>
      </c>
    </row>
    <row r="14" ht="18" customHeight="1" s="19">
      <c r="A14" s="9" t="inlineStr">
        <is>
          <t>i13</t>
        </is>
      </c>
      <c r="B14" s="10" t="inlineStr">
        <is>
          <t>Pu Tuo</t>
        </is>
      </c>
      <c r="C14" s="10" t="inlineStr">
        <is>
          <t>Changfeng</t>
        </is>
      </c>
      <c r="D14" s="11" t="n">
        <v>31.235</v>
      </c>
      <c r="E14" s="11" t="n">
        <v>121.39</v>
      </c>
      <c r="F14" s="10" t="inlineStr">
        <is>
          <t>Shanghai mainland</t>
        </is>
      </c>
      <c r="G14" s="12" t="n">
        <v>51346</v>
      </c>
      <c r="H14" s="13">
        <f>G14/365</f>
        <v/>
      </c>
      <c r="I14" s="11" t="n">
        <v>0.3078889129</v>
      </c>
      <c r="J14" s="14" t="n">
        <v>170.183015094888</v>
      </c>
      <c r="K14" s="15" t="n">
        <v>0.0003</v>
      </c>
      <c r="L14" s="13">
        <f>-LN(eps_g)/K14</f>
        <v/>
      </c>
      <c r="M14" s="13">
        <f>etabar*I14*J14</f>
        <v/>
      </c>
    </row>
    <row r="15" ht="18" customHeight="1" s="19">
      <c r="A15" s="6" t="inlineStr">
        <is>
          <t>i14</t>
        </is>
      </c>
      <c r="B15" s="4" t="inlineStr">
        <is>
          <t>Za Bei</t>
        </is>
      </c>
      <c r="C15" s="4" t="n"/>
      <c r="D15" s="11" t="n">
        <v>31.258</v>
      </c>
      <c r="E15" s="11" t="n">
        <v>121.446</v>
      </c>
      <c r="F15" s="4" t="inlineStr">
        <is>
          <t>Shanghai mainland</t>
        </is>
      </c>
      <c r="G15" s="12" t="n">
        <v>60964</v>
      </c>
      <c r="H15" s="8">
        <f>G15/365</f>
        <v/>
      </c>
      <c r="I15" s="11" t="n">
        <v>0.3151776507</v>
      </c>
      <c r="J15" s="14" t="n">
        <v>216.276530974877</v>
      </c>
      <c r="K15" s="15" t="n">
        <v>0.00024</v>
      </c>
      <c r="L15" s="8">
        <f>-LN(eps_g)/K15</f>
        <v/>
      </c>
      <c r="M15" s="8">
        <f>etabar*I15*J15</f>
        <v/>
      </c>
    </row>
    <row r="16" ht="18" customHeight="1" s="19">
      <c r="A16" s="9" t="inlineStr">
        <is>
          <t>i15</t>
        </is>
      </c>
      <c r="B16" s="10" t="inlineStr">
        <is>
          <t>Hong Kou</t>
        </is>
      </c>
      <c r="C16" s="10" t="n"/>
      <c r="D16" s="11" t="n">
        <v>31.2646</v>
      </c>
      <c r="E16" s="11" t="n">
        <v>121.489</v>
      </c>
      <c r="F16" s="10" t="inlineStr">
        <is>
          <t>Shanghai mainland</t>
        </is>
      </c>
      <c r="G16" s="12" t="n">
        <v>39712</v>
      </c>
      <c r="H16" s="13">
        <f>G16/365</f>
        <v/>
      </c>
      <c r="I16" s="11" t="n">
        <v>0.2755771103</v>
      </c>
      <c r="J16" s="14" t="n">
        <v>137.11514673152</v>
      </c>
      <c r="K16" s="15" t="n">
        <v>0.00021</v>
      </c>
      <c r="L16" s="13">
        <f>-LN(eps_g)/K16</f>
        <v/>
      </c>
      <c r="M16" s="13">
        <f>etabar*I16*J16</f>
        <v/>
      </c>
    </row>
    <row r="17" ht="18" customHeight="1" s="19">
      <c r="A17" s="6" t="inlineStr">
        <is>
          <t>i16</t>
        </is>
      </c>
      <c r="B17" s="4" t="inlineStr">
        <is>
          <t>Yang Pu</t>
        </is>
      </c>
      <c r="C17" s="4" t="n"/>
      <c r="D17" s="11" t="n">
        <v>31.2705</v>
      </c>
      <c r="E17" s="11" t="n">
        <v>121.526</v>
      </c>
      <c r="F17" s="4" t="inlineStr">
        <is>
          <t>Shanghai mainland</t>
        </is>
      </c>
      <c r="G17" s="12" t="n">
        <v>43900</v>
      </c>
      <c r="H17" s="8">
        <f>G17/365</f>
        <v/>
      </c>
      <c r="I17" s="11" t="n">
        <v>0.2736617689</v>
      </c>
      <c r="J17" s="14" t="n">
        <v>128.519421825611</v>
      </c>
      <c r="K17" s="15" t="n">
        <v>0.00028</v>
      </c>
      <c r="L17" s="8">
        <f>-LN(eps_g)/K17</f>
        <v/>
      </c>
      <c r="M17" s="8">
        <f>etabar*I17*J17</f>
        <v/>
      </c>
    </row>
    <row r="18" ht="18" customHeight="1" s="19">
      <c r="A18" s="9" t="inlineStr">
        <is>
          <t>i17</t>
        </is>
      </c>
      <c r="B18" s="10" t="inlineStr">
        <is>
          <t>Min Hang</t>
        </is>
      </c>
      <c r="C18" s="10" t="inlineStr">
        <is>
          <t>Xinzhuang</t>
        </is>
      </c>
      <c r="D18" s="11" t="n">
        <v>31.112</v>
      </c>
      <c r="E18" s="11" t="n">
        <v>121.381</v>
      </c>
      <c r="F18" s="10" t="inlineStr">
        <is>
          <t>Shanghai mainland</t>
        </is>
      </c>
      <c r="G18" s="12" t="n">
        <v>28078</v>
      </c>
      <c r="H18" s="13">
        <f>G18/365</f>
        <v/>
      </c>
      <c r="I18" s="11" t="n">
        <v>0.2699804234</v>
      </c>
      <c r="J18" s="14" t="n">
        <v>95.80076147343399</v>
      </c>
      <c r="K18" s="15" t="n">
        <v>0.00025</v>
      </c>
      <c r="L18" s="13">
        <f>-LN(eps_g)/K18</f>
        <v/>
      </c>
      <c r="M18" s="13">
        <f>etabar*I18*J18</f>
        <v/>
      </c>
    </row>
    <row r="19" ht="18" customHeight="1" s="19">
      <c r="A19" s="6" t="inlineStr">
        <is>
          <t>i18</t>
        </is>
      </c>
      <c r="B19" s="4" t="inlineStr">
        <is>
          <t>Min Hang</t>
        </is>
      </c>
      <c r="C19" s="4" t="inlineStr">
        <is>
          <t>Qibao</t>
        </is>
      </c>
      <c r="D19" s="11" t="n">
        <v>31.155</v>
      </c>
      <c r="E19" s="11" t="n">
        <v>121.345</v>
      </c>
      <c r="F19" s="4" t="inlineStr">
        <is>
          <t>Shanghai mainland</t>
        </is>
      </c>
      <c r="G19" s="12" t="n">
        <v>75236</v>
      </c>
      <c r="H19" s="8">
        <f>G19/365</f>
        <v/>
      </c>
      <c r="I19" s="11" t="n">
        <v>0.2542904753</v>
      </c>
      <c r="J19" s="14" t="n">
        <v>266.861452267261</v>
      </c>
      <c r="K19" s="15" t="n">
        <v>0.00023</v>
      </c>
      <c r="L19" s="8">
        <f>-LN(eps_g)/K19</f>
        <v/>
      </c>
      <c r="M19" s="8">
        <f>etabar*I19*J19</f>
        <v/>
      </c>
    </row>
    <row r="20" ht="18" customHeight="1" s="19">
      <c r="A20" s="9" t="inlineStr">
        <is>
          <t>i19</t>
        </is>
      </c>
      <c r="B20" s="10" t="inlineStr">
        <is>
          <t>Min Hang</t>
        </is>
      </c>
      <c r="C20" s="10" t="inlineStr">
        <is>
          <t>Meilong</t>
        </is>
      </c>
      <c r="D20" s="11" t="n">
        <v>31.14</v>
      </c>
      <c r="E20" s="11" t="n">
        <v>121.41</v>
      </c>
      <c r="F20" s="10" t="inlineStr">
        <is>
          <t>Shanghai mainland</t>
        </is>
      </c>
      <c r="G20" s="12" t="n">
        <v>47623</v>
      </c>
      <c r="H20" s="13">
        <f>G20/365</f>
        <v/>
      </c>
      <c r="I20" s="11" t="n">
        <v>0.3292947389</v>
      </c>
      <c r="J20" s="14" t="n">
        <v>163.492115746148</v>
      </c>
      <c r="K20" s="15" t="n">
        <v>0.00029</v>
      </c>
      <c r="L20" s="13">
        <f>-LN(eps_g)/K20</f>
        <v/>
      </c>
      <c r="M20" s="13">
        <f>etabar*I20*J20</f>
        <v/>
      </c>
    </row>
    <row r="21" ht="18" customHeight="1" s="19">
      <c r="A21" s="6" t="inlineStr">
        <is>
          <t>i20</t>
        </is>
      </c>
      <c r="B21" s="4" t="inlineStr">
        <is>
          <t>Min Hang</t>
        </is>
      </c>
      <c r="C21" s="4" t="inlineStr">
        <is>
          <t>Wujing</t>
        </is>
      </c>
      <c r="D21" s="11" t="n">
        <v>31.03</v>
      </c>
      <c r="E21" s="11" t="n">
        <v>121.45</v>
      </c>
      <c r="F21" s="4" t="inlineStr">
        <is>
          <t>Shanghai mainland</t>
        </is>
      </c>
      <c r="G21" s="12" t="n">
        <v>100680</v>
      </c>
      <c r="H21" s="8">
        <f>G21/365</f>
        <v/>
      </c>
      <c r="I21" s="11" t="n">
        <v>0.2536716471</v>
      </c>
      <c r="J21" s="14" t="n">
        <v>285.271942703895</v>
      </c>
      <c r="K21" s="15" t="n">
        <v>0.0002700000000000001</v>
      </c>
      <c r="L21" s="8">
        <f>-LN(eps_g)/K21</f>
        <v/>
      </c>
      <c r="M21" s="8">
        <f>etabar*I21*J21</f>
        <v/>
      </c>
    </row>
    <row r="22" ht="18" customHeight="1" s="19">
      <c r="A22" s="9" t="inlineStr">
        <is>
          <t>i21</t>
        </is>
      </c>
      <c r="B22" s="10" t="inlineStr">
        <is>
          <t>Bao Shang</t>
        </is>
      </c>
      <c r="C22" s="10" t="inlineStr">
        <is>
          <t>Youyi</t>
        </is>
      </c>
      <c r="D22" s="11" t="n">
        <v>31.405</v>
      </c>
      <c r="E22" s="11" t="n">
        <v>121.489</v>
      </c>
      <c r="F22" s="10" t="inlineStr">
        <is>
          <t>Shanghai mainland</t>
        </is>
      </c>
      <c r="G22" s="12" t="n">
        <v>100060</v>
      </c>
      <c r="H22" s="13">
        <f>G22/365</f>
        <v/>
      </c>
      <c r="I22" s="11" t="n">
        <v>0.2825195866</v>
      </c>
      <c r="J22" s="14" t="n">
        <v>310.973240543281</v>
      </c>
      <c r="K22" s="15" t="n">
        <v>0.00022</v>
      </c>
      <c r="L22" s="13">
        <f>-LN(eps_g)/K22</f>
        <v/>
      </c>
      <c r="M22" s="13">
        <f>etabar*I22*J22</f>
        <v/>
      </c>
    </row>
    <row r="23" ht="18" customHeight="1" s="19">
      <c r="A23" s="6" t="inlineStr">
        <is>
          <t>i22</t>
        </is>
      </c>
      <c r="B23" s="4" t="inlineStr">
        <is>
          <t>Bao Shang</t>
        </is>
      </c>
      <c r="C23" s="4" t="inlineStr">
        <is>
          <t>Dachang</t>
        </is>
      </c>
      <c r="D23" s="11" t="n">
        <v>31.31</v>
      </c>
      <c r="E23" s="11" t="n">
        <v>121.42</v>
      </c>
      <c r="F23" s="4" t="inlineStr">
        <is>
          <t>Shanghai mainland</t>
        </is>
      </c>
      <c r="G23" s="12" t="n">
        <v>75236</v>
      </c>
      <c r="H23" s="8">
        <f>G23/365</f>
        <v/>
      </c>
      <c r="I23" s="11" t="n">
        <v>0.3317110478</v>
      </c>
      <c r="J23" s="14" t="n">
        <v>263.621042232564</v>
      </c>
      <c r="K23" s="15" t="n">
        <v>0.00026</v>
      </c>
      <c r="L23" s="8">
        <f>-LN(eps_g)/K23</f>
        <v/>
      </c>
      <c r="M23" s="8">
        <f>etabar*I23*J23</f>
        <v/>
      </c>
    </row>
    <row r="24" ht="18" customHeight="1" s="19">
      <c r="A24" s="9" t="inlineStr">
        <is>
          <t>i23</t>
        </is>
      </c>
      <c r="B24" s="10" t="inlineStr">
        <is>
          <t>Bao Shang</t>
        </is>
      </c>
      <c r="C24" s="10" t="inlineStr">
        <is>
          <t>Luodian</t>
        </is>
      </c>
      <c r="D24" s="11" t="n">
        <v>31.42</v>
      </c>
      <c r="E24" s="11" t="n">
        <v>121.36</v>
      </c>
      <c r="F24" s="10" t="inlineStr">
        <is>
          <t>Shanghai mainland</t>
        </is>
      </c>
      <c r="G24" s="12" t="n">
        <v>65618</v>
      </c>
      <c r="H24" s="13">
        <f>G24/365</f>
        <v/>
      </c>
      <c r="I24" s="11" t="n">
        <v>0.256894646</v>
      </c>
      <c r="J24" s="14" t="n">
        <v>210.338858198325</v>
      </c>
      <c r="K24" s="15" t="n">
        <v>0.0003</v>
      </c>
      <c r="L24" s="13">
        <f>-LN(eps_g)/K24</f>
        <v/>
      </c>
      <c r="M24" s="13">
        <f>etabar*I24*J24</f>
        <v/>
      </c>
    </row>
    <row r="25" ht="18" customHeight="1" s="19">
      <c r="A25" s="6" t="inlineStr">
        <is>
          <t>i24</t>
        </is>
      </c>
      <c r="B25" s="4" t="inlineStr">
        <is>
          <t>Jia Ding</t>
        </is>
      </c>
      <c r="C25" s="4" t="inlineStr">
        <is>
          <t>Jiading town</t>
        </is>
      </c>
      <c r="D25" s="11" t="n">
        <v>31.375</v>
      </c>
      <c r="E25" s="11" t="n">
        <v>121.25</v>
      </c>
      <c r="F25" s="4" t="inlineStr">
        <is>
          <t>Shanghai mainland</t>
        </is>
      </c>
      <c r="G25" s="12" t="n">
        <v>88421</v>
      </c>
      <c r="H25" s="8">
        <f>G25/365</f>
        <v/>
      </c>
      <c r="I25" s="11" t="n">
        <v>0.2655270758</v>
      </c>
      <c r="J25" s="14" t="n">
        <v>279.118602027681</v>
      </c>
      <c r="K25" s="15" t="n">
        <v>0.00024</v>
      </c>
      <c r="L25" s="8">
        <f>-LN(eps_g)/K25</f>
        <v/>
      </c>
      <c r="M25" s="8">
        <f>etabar*I25*J25</f>
        <v/>
      </c>
    </row>
    <row r="26" ht="18" customHeight="1" s="19">
      <c r="A26" s="9" t="inlineStr">
        <is>
          <t>i25</t>
        </is>
      </c>
      <c r="B26" s="10" t="inlineStr">
        <is>
          <t>Jia Ding</t>
        </is>
      </c>
      <c r="C26" s="10" t="inlineStr">
        <is>
          <t>Anting</t>
        </is>
      </c>
      <c r="D26" s="11" t="n">
        <v>31.295</v>
      </c>
      <c r="E26" s="11" t="n">
        <v>121.16</v>
      </c>
      <c r="F26" s="10" t="inlineStr">
        <is>
          <t>Shanghai mainland</t>
        </is>
      </c>
      <c r="G26" s="12" t="n">
        <v>64687</v>
      </c>
      <c r="H26" s="13">
        <f>G26/365</f>
        <v/>
      </c>
      <c r="I26" s="11" t="n">
        <v>0.281550491</v>
      </c>
      <c r="J26" s="14" t="n">
        <v>186.731953705585</v>
      </c>
      <c r="K26" s="15" t="n">
        <v>0.00021</v>
      </c>
      <c r="L26" s="13">
        <f>-LN(eps_g)/K26</f>
        <v/>
      </c>
      <c r="M26" s="13">
        <f>etabar*I26*J26</f>
        <v/>
      </c>
    </row>
    <row r="27" ht="18" customHeight="1" s="19">
      <c r="A27" s="6" t="inlineStr">
        <is>
          <t>i26</t>
        </is>
      </c>
      <c r="B27" s="4" t="inlineStr">
        <is>
          <t>Jia Ding</t>
        </is>
      </c>
      <c r="C27" s="4" t="inlineStr">
        <is>
          <t>Nanxiang</t>
        </is>
      </c>
      <c r="D27" s="11" t="n">
        <v>31.295</v>
      </c>
      <c r="E27" s="11" t="n">
        <v>121.31</v>
      </c>
      <c r="F27" s="4" t="inlineStr">
        <is>
          <t>Shanghai mainland</t>
        </is>
      </c>
      <c r="G27" s="12" t="n">
        <v>89507</v>
      </c>
      <c r="H27" s="8">
        <f>G27/365</f>
        <v/>
      </c>
      <c r="I27" s="11" t="n">
        <v>0.2859257082</v>
      </c>
      <c r="J27" s="14" t="n">
        <v>286.432515693685</v>
      </c>
      <c r="K27" s="15" t="n">
        <v>0.00028</v>
      </c>
      <c r="L27" s="8">
        <f>-LN(eps_g)/K27</f>
        <v/>
      </c>
      <c r="M27" s="8">
        <f>etabar*I27*J27</f>
        <v/>
      </c>
    </row>
    <row r="28" ht="18" customHeight="1" s="19">
      <c r="A28" s="9" t="inlineStr">
        <is>
          <t>i27</t>
        </is>
      </c>
      <c r="B28" s="10" t="inlineStr">
        <is>
          <t>Jing Shan</t>
        </is>
      </c>
      <c r="C28" s="10" t="inlineStr">
        <is>
          <t>Zhujing</t>
        </is>
      </c>
      <c r="D28" s="11" t="n">
        <v>30.9</v>
      </c>
      <c r="E28" s="11" t="n">
        <v>121.17</v>
      </c>
      <c r="F28" s="10" t="inlineStr">
        <is>
          <t>Shanghai mainland</t>
        </is>
      </c>
      <c r="G28" s="12" t="n">
        <v>92144</v>
      </c>
      <c r="H28" s="13">
        <f>G28/365</f>
        <v/>
      </c>
      <c r="I28" s="11" t="n">
        <v>0.3228125928</v>
      </c>
      <c r="J28" s="14" t="n">
        <v>288.621196799104</v>
      </c>
      <c r="K28" s="15" t="n">
        <v>0.00025</v>
      </c>
      <c r="L28" s="13">
        <f>-LN(eps_g)/K28</f>
        <v/>
      </c>
      <c r="M28" s="13">
        <f>etabar*I28*J28</f>
        <v/>
      </c>
    </row>
    <row r="29" ht="18" customHeight="1" s="19">
      <c r="A29" s="6" t="inlineStr">
        <is>
          <t>i28</t>
        </is>
      </c>
      <c r="B29" s="4" t="inlineStr">
        <is>
          <t>Jing Shan</t>
        </is>
      </c>
      <c r="C29" s="4" t="inlineStr">
        <is>
          <t>Shihua</t>
        </is>
      </c>
      <c r="D29" s="11" t="n">
        <v>30.725</v>
      </c>
      <c r="E29" s="11" t="n">
        <v>121.34</v>
      </c>
      <c r="F29" s="4" t="inlineStr">
        <is>
          <t>Shanghai mainland</t>
        </is>
      </c>
      <c r="G29" s="12" t="n">
        <v>55069</v>
      </c>
      <c r="H29" s="8">
        <f>G29/365</f>
        <v/>
      </c>
      <c r="I29" s="11" t="n">
        <v>0.34691689</v>
      </c>
      <c r="J29" s="14" t="n">
        <v>178.210244474167</v>
      </c>
      <c r="K29" s="15" t="n">
        <v>0.00023</v>
      </c>
      <c r="L29" s="8">
        <f>-LN(eps_g)/K29</f>
        <v/>
      </c>
      <c r="M29" s="8">
        <f>etabar*I29*J29</f>
        <v/>
      </c>
    </row>
    <row r="30" ht="18" customHeight="1" s="19">
      <c r="A30" s="9" t="inlineStr">
        <is>
          <t>i29</t>
        </is>
      </c>
      <c r="B30" s="10" t="inlineStr">
        <is>
          <t>Song Jiang</t>
        </is>
      </c>
      <c r="C30" s="10" t="inlineStr">
        <is>
          <t>Songjiang town</t>
        </is>
      </c>
      <c r="D30" s="11" t="n">
        <v>31.032</v>
      </c>
      <c r="E30" s="11" t="n">
        <v>121.228</v>
      </c>
      <c r="F30" s="10" t="inlineStr">
        <is>
          <t>Shanghai mainland</t>
        </is>
      </c>
      <c r="G30" s="12" t="n">
        <v>50261</v>
      </c>
      <c r="H30" s="13">
        <f>G30/365</f>
        <v/>
      </c>
      <c r="I30" s="11" t="n">
        <v>0.3136144456</v>
      </c>
      <c r="J30" s="14" t="n">
        <v>161.020745413387</v>
      </c>
      <c r="K30" s="15" t="n">
        <v>0.00029</v>
      </c>
      <c r="L30" s="13">
        <f>-LN(eps_g)/K30</f>
        <v/>
      </c>
      <c r="M30" s="13">
        <f>etabar*I30*J30</f>
        <v/>
      </c>
    </row>
    <row r="31" ht="18" customHeight="1" s="19">
      <c r="A31" s="6" t="inlineStr">
        <is>
          <t>i30</t>
        </is>
      </c>
      <c r="B31" s="4" t="inlineStr">
        <is>
          <t>Song Jiang</t>
        </is>
      </c>
      <c r="C31" s="4" t="inlineStr">
        <is>
          <t>Sheshan</t>
        </is>
      </c>
      <c r="D31" s="11" t="n">
        <v>31.095</v>
      </c>
      <c r="E31" s="11" t="n">
        <v>121.2</v>
      </c>
      <c r="F31" s="4" t="inlineStr">
        <is>
          <t>Shanghai mainland</t>
        </is>
      </c>
      <c r="G31" s="12" t="n">
        <v>57707</v>
      </c>
      <c r="H31" s="8">
        <f>G31/365</f>
        <v/>
      </c>
      <c r="I31" s="11" t="n">
        <v>0.2694261337</v>
      </c>
      <c r="J31" s="14" t="n">
        <v>192.062133309126</v>
      </c>
      <c r="K31" s="15" t="n">
        <v>0.0002700000000000001</v>
      </c>
      <c r="L31" s="8">
        <f>-LN(eps_g)/K31</f>
        <v/>
      </c>
      <c r="M31" s="8">
        <f>etabar*I31*J31</f>
        <v/>
      </c>
    </row>
    <row r="32" ht="18" customHeight="1" s="19">
      <c r="A32" s="9" t="inlineStr">
        <is>
          <t>i31</t>
        </is>
      </c>
      <c r="B32" s="10" t="inlineStr">
        <is>
          <t>Song Jiang</t>
        </is>
      </c>
      <c r="C32" s="10" t="inlineStr">
        <is>
          <t>Jiuting</t>
        </is>
      </c>
      <c r="D32" s="11" t="n">
        <v>31.125</v>
      </c>
      <c r="E32" s="11" t="n">
        <v>121.32</v>
      </c>
      <c r="F32" s="10" t="inlineStr">
        <is>
          <t>Shanghai mainland</t>
        </is>
      </c>
      <c r="G32" s="12" t="n">
        <v>44521</v>
      </c>
      <c r="H32" s="13">
        <f>G32/365</f>
        <v/>
      </c>
      <c r="I32" s="11" t="n">
        <v>0.3016049501</v>
      </c>
      <c r="J32" s="14" t="n">
        <v>126.796365739572</v>
      </c>
      <c r="K32" s="15" t="n">
        <v>0.00022</v>
      </c>
      <c r="L32" s="13">
        <f>-LN(eps_g)/K32</f>
        <v/>
      </c>
      <c r="M32" s="13">
        <f>etabar*I32*J32</f>
        <v/>
      </c>
    </row>
    <row r="33" ht="18" customHeight="1" s="19">
      <c r="A33" s="6" t="inlineStr">
        <is>
          <t>i32</t>
        </is>
      </c>
      <c r="B33" s="4" t="inlineStr">
        <is>
          <t>Qing Pu</t>
        </is>
      </c>
      <c r="C33" s="4" t="inlineStr">
        <is>
          <t>Qingpu town</t>
        </is>
      </c>
      <c r="D33" s="11" t="n">
        <v>31.15</v>
      </c>
      <c r="E33" s="11" t="n">
        <v>121.124</v>
      </c>
      <c r="F33" s="4" t="inlineStr">
        <is>
          <t>Shanghai mainland</t>
        </is>
      </c>
      <c r="G33" s="12" t="n">
        <v>78959</v>
      </c>
      <c r="H33" s="8">
        <f>G33/365</f>
        <v/>
      </c>
      <c r="I33" s="11" t="n">
        <v>0.2520170946</v>
      </c>
      <c r="J33" s="14" t="n">
        <v>259.306053251441</v>
      </c>
      <c r="K33" s="15" t="n">
        <v>0.00026</v>
      </c>
      <c r="L33" s="8">
        <f>-LN(eps_g)/K33</f>
        <v/>
      </c>
      <c r="M33" s="8">
        <f>etabar*I33*J33</f>
        <v/>
      </c>
    </row>
    <row r="34" ht="18" customHeight="1" s="19">
      <c r="A34" s="9" t="inlineStr">
        <is>
          <t>i33</t>
        </is>
      </c>
      <c r="B34" s="10" t="inlineStr">
        <is>
          <t>Qing Pu</t>
        </is>
      </c>
      <c r="C34" s="10" t="inlineStr">
        <is>
          <t>Zhujiajiao</t>
        </is>
      </c>
      <c r="D34" s="11" t="n">
        <v>31.11</v>
      </c>
      <c r="E34" s="11" t="n">
        <v>121.05</v>
      </c>
      <c r="F34" s="10" t="inlineStr">
        <is>
          <t>Shanghai mainland</t>
        </is>
      </c>
      <c r="G34" s="12" t="n">
        <v>104400</v>
      </c>
      <c r="H34" s="13">
        <f>G34/365</f>
        <v/>
      </c>
      <c r="I34" s="11" t="n">
        <v>0.2971930192</v>
      </c>
      <c r="J34" s="14" t="n">
        <v>347.000459816416</v>
      </c>
      <c r="K34" s="15" t="n">
        <v>0.0003</v>
      </c>
      <c r="L34" s="13">
        <f>-LN(eps_g)/K34</f>
        <v/>
      </c>
      <c r="M34" s="13">
        <f>etabar*I34*J34</f>
        <v/>
      </c>
    </row>
    <row r="35" ht="18" customHeight="1" s="19">
      <c r="A35" s="6" t="inlineStr">
        <is>
          <t>i34</t>
        </is>
      </c>
      <c r="B35" s="4" t="inlineStr">
        <is>
          <t>Qing Pu</t>
        </is>
      </c>
      <c r="C35" s="4" t="inlineStr">
        <is>
          <t>Xujing</t>
        </is>
      </c>
      <c r="D35" s="11" t="n">
        <v>31.195</v>
      </c>
      <c r="E35" s="11" t="n">
        <v>121.26</v>
      </c>
      <c r="F35" s="4" t="inlineStr">
        <is>
          <t>Shanghai mainland</t>
        </is>
      </c>
      <c r="G35" s="12" t="n">
        <v>96333</v>
      </c>
      <c r="H35" s="8">
        <f>G35/365</f>
        <v/>
      </c>
      <c r="I35" s="11" t="n">
        <v>0.2787303951</v>
      </c>
      <c r="J35" s="14" t="n">
        <v>325.312263624773</v>
      </c>
      <c r="K35" s="15" t="n">
        <v>0.00024</v>
      </c>
      <c r="L35" s="8">
        <f>-LN(eps_g)/K35</f>
        <v/>
      </c>
      <c r="M35" s="8">
        <f>etabar*I35*J35</f>
        <v/>
      </c>
    </row>
    <row r="36" ht="18" customHeight="1" s="19">
      <c r="A36" s="9" t="inlineStr">
        <is>
          <t>i35</t>
        </is>
      </c>
      <c r="B36" s="10" t="inlineStr">
        <is>
          <t>Feng Xian</t>
        </is>
      </c>
      <c r="C36" s="10" t="inlineStr">
        <is>
          <t>Nanqiao</t>
        </is>
      </c>
      <c r="D36" s="11" t="n">
        <v>30.918</v>
      </c>
      <c r="E36" s="11" t="n">
        <v>121.474</v>
      </c>
      <c r="F36" s="10" t="inlineStr">
        <is>
          <t>Shanghai mainland</t>
        </is>
      </c>
      <c r="G36" s="12" t="n">
        <v>86870</v>
      </c>
      <c r="H36" s="13">
        <f>G36/365</f>
        <v/>
      </c>
      <c r="I36" s="11" t="n">
        <v>0.2855043325</v>
      </c>
      <c r="J36" s="14" t="n">
        <v>255.0226230832</v>
      </c>
      <c r="K36" s="15" t="n">
        <v>0.00021</v>
      </c>
      <c r="L36" s="13">
        <f>-LN(eps_g)/K36</f>
        <v/>
      </c>
      <c r="M36" s="13">
        <f>etabar*I36*J36</f>
        <v/>
      </c>
    </row>
    <row r="37" ht="18" customHeight="1" s="19">
      <c r="A37" s="6" t="inlineStr">
        <is>
          <t>i36</t>
        </is>
      </c>
      <c r="B37" s="4" t="inlineStr">
        <is>
          <t>Feng Xian</t>
        </is>
      </c>
      <c r="C37" s="4" t="inlineStr">
        <is>
          <t>Fengcheng</t>
        </is>
      </c>
      <c r="D37" s="11" t="n">
        <v>30.87</v>
      </c>
      <c r="E37" s="11" t="n">
        <v>121.59</v>
      </c>
      <c r="F37" s="4" t="inlineStr">
        <is>
          <t>Shanghai mainland</t>
        </is>
      </c>
      <c r="G37" s="12" t="n">
        <v>99125</v>
      </c>
      <c r="H37" s="8">
        <f>G37/365</f>
        <v/>
      </c>
      <c r="I37" s="11" t="n">
        <v>0.3459520652</v>
      </c>
      <c r="J37" s="14" t="n">
        <v>317.657007105795</v>
      </c>
      <c r="K37" s="15" t="n">
        <v>0.00028</v>
      </c>
      <c r="L37" s="8">
        <f>-LN(eps_g)/K37</f>
        <v/>
      </c>
      <c r="M37" s="8">
        <f>etabar*I37*J37</f>
        <v/>
      </c>
    </row>
    <row r="38" ht="18" customHeight="1" s="19">
      <c r="A38" s="9" t="inlineStr">
        <is>
          <t>i37</t>
        </is>
      </c>
      <c r="B38" s="10" t="inlineStr">
        <is>
          <t>Feng Xian</t>
        </is>
      </c>
      <c r="C38" s="10" t="inlineStr">
        <is>
          <t>Zhelin</t>
        </is>
      </c>
      <c r="D38" s="11" t="n">
        <v>30.83</v>
      </c>
      <c r="E38" s="11" t="n">
        <v>121.47</v>
      </c>
      <c r="F38" s="10" t="inlineStr">
        <is>
          <t>Shanghai mainland</t>
        </is>
      </c>
      <c r="G38" s="12" t="n">
        <v>78338</v>
      </c>
      <c r="H38" s="13">
        <f>G38/365</f>
        <v/>
      </c>
      <c r="I38" s="11" t="n">
        <v>0.2609022382</v>
      </c>
      <c r="J38" s="14" t="n">
        <v>227.271064937291</v>
      </c>
      <c r="K38" s="15" t="n">
        <v>0.00025</v>
      </c>
      <c r="L38" s="13">
        <f>-LN(eps_g)/K38</f>
        <v/>
      </c>
      <c r="M38" s="13">
        <f>etabar*I38*J38</f>
        <v/>
      </c>
    </row>
    <row r="39" ht="18" customHeight="1" s="19">
      <c r="A39" s="6" t="inlineStr">
        <is>
          <t>i38</t>
        </is>
      </c>
      <c r="B39" s="4" t="inlineStr">
        <is>
          <t>Chong Ming</t>
        </is>
      </c>
      <c r="C39" s="4" t="inlineStr">
        <is>
          <t>Chengqiao</t>
        </is>
      </c>
      <c r="D39" s="11" t="n">
        <v>31.623</v>
      </c>
      <c r="E39" s="11" t="n">
        <v>121.397</v>
      </c>
      <c r="F39" s="4" t="inlineStr">
        <is>
          <t>Chongming island</t>
        </is>
      </c>
      <c r="G39" s="12" t="n">
        <v>71513</v>
      </c>
      <c r="H39" s="8">
        <f>G39/365</f>
        <v/>
      </c>
      <c r="I39" s="11" t="n">
        <v>0.2640972591</v>
      </c>
      <c r="J39" s="14" t="n">
        <v>238.311354328357</v>
      </c>
      <c r="K39" s="15" t="n">
        <v>0.00023</v>
      </c>
      <c r="L39" s="8">
        <f>-LN(eps_g)/K39</f>
        <v/>
      </c>
      <c r="M39" s="8">
        <f>etabar*I39*J39</f>
        <v/>
      </c>
    </row>
    <row r="40" ht="18" customHeight="1" s="19">
      <c r="A40" s="9" t="inlineStr">
        <is>
          <t>i39</t>
        </is>
      </c>
      <c r="B40" s="10" t="inlineStr">
        <is>
          <t>Chong Ming</t>
        </is>
      </c>
      <c r="C40" s="10" t="inlineStr">
        <is>
          <t>Baozhen</t>
        </is>
      </c>
      <c r="D40" s="11" t="n">
        <v>31.66</v>
      </c>
      <c r="E40" s="11" t="n">
        <v>121.62</v>
      </c>
      <c r="F40" s="10" t="inlineStr">
        <is>
          <t>Chongming island</t>
        </is>
      </c>
      <c r="G40" s="12" t="n">
        <v>67324</v>
      </c>
      <c r="H40" s="13">
        <f>G40/365</f>
        <v/>
      </c>
      <c r="I40" s="11" t="n">
        <v>0.2545616307</v>
      </c>
      <c r="J40" s="14" t="n">
        <v>232.544879495489</v>
      </c>
      <c r="K40" s="15" t="n">
        <v>0.00029</v>
      </c>
      <c r="L40" s="13">
        <f>-LN(eps_g)/K40</f>
        <v/>
      </c>
      <c r="M40" s="13">
        <f>etabar*I40*J40</f>
        <v/>
      </c>
    </row>
    <row r="41" ht="18" customHeight="1" s="19">
      <c r="A41" s="6" t="inlineStr">
        <is>
          <t>i40</t>
        </is>
      </c>
      <c r="B41" s="4" t="inlineStr">
        <is>
          <t>Chong Ming</t>
        </is>
      </c>
      <c r="C41" s="4" t="inlineStr">
        <is>
          <t>Changxing island town</t>
        </is>
      </c>
      <c r="D41" s="11" t="n">
        <v>31.408</v>
      </c>
      <c r="E41" s="11" t="n">
        <v>121.66</v>
      </c>
      <c r="F41" s="4" t="inlineStr">
        <is>
          <t>Changxing island</t>
        </is>
      </c>
      <c r="G41" s="12" t="n">
        <v>102690</v>
      </c>
      <c r="H41" s="8">
        <f>G41/365</f>
        <v/>
      </c>
      <c r="I41" s="11" t="n">
        <v>0.2898947975</v>
      </c>
      <c r="J41" s="14" t="n">
        <v>323.734205556996</v>
      </c>
      <c r="K41" s="15" t="n">
        <v>0.0002700000000000001</v>
      </c>
      <c r="L41" s="8">
        <f>-LN(eps_g)/K41</f>
        <v/>
      </c>
      <c r="M41" s="8">
        <f>etabar*I41*J41</f>
        <v/>
      </c>
    </row>
  </sheetData>
  <autoFilter ref="A1:M41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9" min="1" max="1"/>
    <col width="16" customWidth="1" style="19" min="2" max="2"/>
    <col width="12" customWidth="1" style="19" min="3" max="4"/>
    <col width="22" customWidth="1" style="19" min="5" max="5"/>
    <col width="32" customWidth="1" style="19" min="6" max="6"/>
    <col width="16" customWidth="1" style="19" min="7" max="7"/>
  </cols>
  <sheetData>
    <row r="1" ht="31.95" customHeight="1" s="19">
      <c r="A1" s="1" t="inlineStr">
        <is>
          <t>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Landmass</t>
        </is>
      </c>
      <c r="F1" s="1" t="inlineStr">
        <is>
          <t>Mean haul from the cities (km)</t>
        </is>
      </c>
      <c r="G1" s="1" t="inlineStr">
        <is>
          <t>Land premium</t>
        </is>
      </c>
    </row>
    <row r="2" ht="18" customHeight="1" s="19">
      <c r="A2" s="9" t="inlineStr">
        <is>
          <t>b1</t>
        </is>
      </c>
      <c r="B2" s="10" t="inlineStr">
        <is>
          <t>Yuqiao</t>
        </is>
      </c>
      <c r="C2" s="11" t="n">
        <v>31.168</v>
      </c>
      <c r="D2" s="11" t="n">
        <v>121.618</v>
      </c>
      <c r="E2" s="10" t="inlineStr">
        <is>
          <t>Shanghai mainland</t>
        </is>
      </c>
      <c r="F2" s="8" t="n">
        <v>39.3826875</v>
      </c>
      <c r="G2" s="16" t="n">
        <v>1.31505038</v>
      </c>
    </row>
    <row r="3" ht="18" customHeight="1" s="19">
      <c r="A3" s="6" t="inlineStr">
        <is>
          <t>b2</t>
        </is>
      </c>
      <c r="B3" s="4" t="inlineStr">
        <is>
          <t>Laogang</t>
        </is>
      </c>
      <c r="C3" s="11" t="n">
        <v>30.915</v>
      </c>
      <c r="D3" s="11" t="n">
        <v>121.825</v>
      </c>
      <c r="E3" s="4" t="inlineStr">
        <is>
          <t>Shanghai mainland</t>
        </is>
      </c>
      <c r="F3" s="8" t="n">
        <v>72.0520575</v>
      </c>
      <c r="G3" s="16" t="n">
        <v>0.8534533399999999</v>
      </c>
    </row>
    <row r="4" ht="18" customHeight="1" s="19">
      <c r="A4" s="9" t="inlineStr">
        <is>
          <t>b3</t>
        </is>
      </c>
      <c r="B4" s="10" t="inlineStr">
        <is>
          <t>Feng Xian</t>
        </is>
      </c>
      <c r="C4" s="11" t="n">
        <v>30.93</v>
      </c>
      <c r="D4" s="11" t="n">
        <v>121.56</v>
      </c>
      <c r="E4" s="10" t="inlineStr">
        <is>
          <t>Shanghai mainland</t>
        </is>
      </c>
      <c r="F4" s="8" t="n">
        <v>51.4837425</v>
      </c>
      <c r="G4" s="16" t="n">
        <v>1.14407031</v>
      </c>
    </row>
    <row r="5" ht="18" customHeight="1" s="19">
      <c r="A5" s="6" t="inlineStr">
        <is>
          <t>b4</t>
        </is>
      </c>
      <c r="B5" s="4" t="inlineStr">
        <is>
          <t>Song Jiang</t>
        </is>
      </c>
      <c r="C5" s="11" t="n">
        <v>31</v>
      </c>
      <c r="D5" s="11" t="n">
        <v>121.19</v>
      </c>
      <c r="E5" s="4" t="inlineStr">
        <is>
          <t>Shanghai mainland</t>
        </is>
      </c>
      <c r="F5" s="8" t="n">
        <v>48.9042375</v>
      </c>
      <c r="G5" s="16" t="n">
        <v>1.18051705</v>
      </c>
    </row>
    <row r="6" ht="18" customHeight="1" s="19">
      <c r="A6" s="9" t="inlineStr">
        <is>
          <t>b5</t>
        </is>
      </c>
      <c r="B6" s="10" t="inlineStr">
        <is>
          <t>Qing Pu</t>
        </is>
      </c>
      <c r="C6" s="11" t="n">
        <v>31.115</v>
      </c>
      <c r="D6" s="11" t="n">
        <v>121.08</v>
      </c>
      <c r="E6" s="10" t="inlineStr">
        <is>
          <t>Shanghai mainland</t>
        </is>
      </c>
      <c r="F6" s="8" t="n">
        <v>51.819055</v>
      </c>
      <c r="G6" s="16" t="n">
        <v>1.13933256</v>
      </c>
    </row>
    <row r="7" ht="18" customHeight="1" s="19">
      <c r="A7" s="6" t="inlineStr">
        <is>
          <t>b6</t>
        </is>
      </c>
      <c r="B7" s="4" t="inlineStr">
        <is>
          <t>Jiang Qiao</t>
        </is>
      </c>
      <c r="C7" s="11" t="n">
        <v>31.265</v>
      </c>
      <c r="D7" s="11" t="n">
        <v>121.32</v>
      </c>
      <c r="E7" s="4" t="inlineStr">
        <is>
          <t>Shanghai mainland</t>
        </is>
      </c>
      <c r="F7" s="8" t="n">
        <v>33.3704075</v>
      </c>
      <c r="G7" s="16" t="n">
        <v>1.4</v>
      </c>
    </row>
    <row r="8" ht="18" customHeight="1" s="19">
      <c r="A8" s="9" t="inlineStr">
        <is>
          <t>b7</t>
        </is>
      </c>
      <c r="B8" s="10" t="inlineStr">
        <is>
          <t>Luo Jing</t>
        </is>
      </c>
      <c r="C8" s="11" t="n">
        <v>31.42</v>
      </c>
      <c r="D8" s="11" t="n">
        <v>121.42</v>
      </c>
      <c r="E8" s="10" t="inlineStr">
        <is>
          <t>Shanghai mainland</t>
        </is>
      </c>
      <c r="F8" s="8" t="n">
        <v>43.269315</v>
      </c>
      <c r="G8" s="16" t="n">
        <v>1.26013485</v>
      </c>
    </row>
    <row r="9" ht="18" customHeight="1" s="19">
      <c r="A9" s="6" t="inlineStr">
        <is>
          <t>b8</t>
        </is>
      </c>
      <c r="B9" s="4" t="inlineStr">
        <is>
          <t>Chong Ming</t>
        </is>
      </c>
      <c r="C9" s="11" t="n">
        <v>31.61</v>
      </c>
      <c r="D9" s="11" t="n">
        <v>121.46</v>
      </c>
      <c r="E9" s="4" t="inlineStr">
        <is>
          <t>Chongming island</t>
        </is>
      </c>
      <c r="F9" s="8" t="n">
        <v>89.99012999999999</v>
      </c>
      <c r="G9" s="16" t="n">
        <v>0.6</v>
      </c>
    </row>
    <row r="10" ht="18" customHeight="1" s="19">
      <c r="A10" s="9" t="inlineStr">
        <is>
          <t>b9</t>
        </is>
      </c>
      <c r="B10" s="10" t="inlineStr">
        <is>
          <t>Jin Shan</t>
        </is>
      </c>
      <c r="C10" s="11" t="n">
        <v>30.85</v>
      </c>
      <c r="D10" s="11" t="n">
        <v>121.26</v>
      </c>
      <c r="E10" s="10" t="inlineStr">
        <is>
          <t>Shanghai mainland</t>
        </is>
      </c>
      <c r="F10" s="8" t="n">
        <v>59.9764675</v>
      </c>
      <c r="G10" s="16" t="n">
        <v>1.02407361</v>
      </c>
    </row>
    <row r="11" ht="18" customHeight="1" s="19">
      <c r="A11" s="6" t="inlineStr">
        <is>
          <t>b10</t>
        </is>
      </c>
      <c r="B11" s="4" t="inlineStr">
        <is>
          <t>Min Hang</t>
        </is>
      </c>
      <c r="C11" s="11" t="n">
        <v>31.055</v>
      </c>
      <c r="D11" s="11" t="n">
        <v>121.43</v>
      </c>
      <c r="E11" s="4" t="inlineStr">
        <is>
          <t>Shanghai mainland</t>
        </is>
      </c>
      <c r="F11" s="8" t="n">
        <v>36.549175</v>
      </c>
      <c r="G11" s="16" t="n">
        <v>1.35508607</v>
      </c>
    </row>
  </sheetData>
  <autoFilter ref="A1:G11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E19" sqref="E19"/>
    </sheetView>
  </sheetViews>
  <sheetFormatPr baseColWidth="8" defaultRowHeight="14.4"/>
  <cols>
    <col width="8" customWidth="1" style="19" min="1" max="1"/>
    <col width="16" customWidth="1" style="19" min="2" max="2"/>
    <col width="12" customWidth="1" style="19" min="3" max="4"/>
    <col width="22" customWidth="1" style="19" min="5" max="5"/>
    <col width="32" customWidth="1" style="19" min="6" max="6"/>
    <col width="16" customWidth="1" style="19" min="7" max="7"/>
  </cols>
  <sheetData>
    <row r="1" ht="31.95" customHeight="1" s="19">
      <c r="A1" s="1" t="inlineStr">
        <is>
          <t>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Landmass</t>
        </is>
      </c>
      <c r="F1" s="1" t="inlineStr">
        <is>
          <t>Mean haul from the cities (km)</t>
        </is>
      </c>
      <c r="G1" s="1" t="inlineStr">
        <is>
          <t>Land premium</t>
        </is>
      </c>
    </row>
    <row r="2" ht="18" customHeight="1" s="19">
      <c r="A2" s="9" t="inlineStr">
        <is>
          <t>j1</t>
        </is>
      </c>
      <c r="B2" s="10" t="inlineStr">
        <is>
          <t>Puxi north</t>
        </is>
      </c>
      <c r="C2" s="11" t="n">
        <v>31.25</v>
      </c>
      <c r="D2" s="11" t="n">
        <v>121.41</v>
      </c>
      <c r="E2" s="10" t="inlineStr">
        <is>
          <t>Shanghai mainland</t>
        </is>
      </c>
      <c r="F2" s="8" t="n">
        <v>29.816275</v>
      </c>
      <c r="G2" s="16" t="n">
        <v>1.35</v>
      </c>
    </row>
    <row r="3" ht="18" customHeight="1" s="19">
      <c r="A3" s="6" t="inlineStr">
        <is>
          <t>j2</t>
        </is>
      </c>
      <c r="B3" s="4" t="inlineStr">
        <is>
          <t>Pudong</t>
        </is>
      </c>
      <c r="C3" s="11" t="n">
        <v>31.22</v>
      </c>
      <c r="D3" s="11" t="n">
        <v>121.59</v>
      </c>
      <c r="E3" s="4" t="inlineStr">
        <is>
          <t>Shanghai mainland</t>
        </is>
      </c>
      <c r="F3" s="8" t="n">
        <v>36.472295</v>
      </c>
      <c r="G3" s="16" t="n">
        <v>1.10080106</v>
      </c>
    </row>
    <row r="4" ht="18" customHeight="1" s="19">
      <c r="A4" s="9" t="inlineStr">
        <is>
          <t>j3</t>
        </is>
      </c>
      <c r="B4" s="10" t="inlineStr">
        <is>
          <t>South-west</t>
        </is>
      </c>
      <c r="C4" s="11" t="n">
        <v>31.07</v>
      </c>
      <c r="D4" s="11" t="n">
        <v>121.33</v>
      </c>
      <c r="E4" s="10" t="inlineStr">
        <is>
          <t>Shanghai mainland</t>
        </is>
      </c>
      <c r="F4" s="8" t="n">
        <v>36.60602</v>
      </c>
      <c r="G4" s="16" t="n">
        <v>1.09579445</v>
      </c>
    </row>
    <row r="5" ht="18" customHeight="1" s="19">
      <c r="A5" s="6" t="inlineStr">
        <is>
          <t>j4</t>
        </is>
      </c>
      <c r="B5" s="4" t="inlineStr">
        <is>
          <t>North</t>
        </is>
      </c>
      <c r="C5" s="11" t="n">
        <v>31.34</v>
      </c>
      <c r="D5" s="11" t="n">
        <v>121.36</v>
      </c>
      <c r="E5" s="4" t="inlineStr">
        <is>
          <t>Shanghai mainland</t>
        </is>
      </c>
      <c r="F5" s="8" t="n">
        <v>36.40998</v>
      </c>
      <c r="G5" s="16" t="n">
        <v>1.10313411</v>
      </c>
    </row>
    <row r="6" ht="18" customHeight="1" s="19">
      <c r="A6" s="9" t="inlineStr">
        <is>
          <t>j5</t>
        </is>
      </c>
      <c r="B6" s="10" t="inlineStr">
        <is>
          <t>South</t>
        </is>
      </c>
      <c r="C6" s="11" t="n">
        <v>30.94</v>
      </c>
      <c r="D6" s="11" t="n">
        <v>121.51</v>
      </c>
      <c r="E6" s="10" t="inlineStr">
        <is>
          <t>Shanghai mainland</t>
        </is>
      </c>
      <c r="F6" s="8" t="n">
        <v>48.51304</v>
      </c>
      <c r="G6" s="16" t="n">
        <v>0.65</v>
      </c>
    </row>
    <row r="7" ht="18" customHeight="1" s="19">
      <c r="A7" s="6" t="inlineStr">
        <is>
          <t>j6</t>
        </is>
      </c>
      <c r="B7" s="4" t="inlineStr">
        <is>
          <t>West</t>
        </is>
      </c>
      <c r="C7" s="11" t="n">
        <v>31.15</v>
      </c>
      <c r="D7" s="11" t="n">
        <v>121.15</v>
      </c>
      <c r="E7" s="4" t="inlineStr">
        <is>
          <t>Shanghai mainland</t>
        </is>
      </c>
      <c r="F7" s="8" t="n">
        <v>44.4467375</v>
      </c>
      <c r="G7" s="16" t="n">
        <v>0.80224087</v>
      </c>
    </row>
  </sheetData>
  <autoFilter ref="A1:G7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9" min="1" max="1"/>
    <col width="16" customWidth="1" style="19" min="2" max="2"/>
    <col width="12" customWidth="1" style="19" min="3" max="4"/>
    <col width="22" customWidth="1" style="19" min="5" max="5"/>
    <col width="20" customWidth="1" style="19" min="6" max="6"/>
    <col width="32" customWidth="1" style="19" min="7" max="7"/>
  </cols>
  <sheetData>
    <row r="1" ht="31.95" customHeight="1" s="19">
      <c r="A1" s="1" t="inlineStr">
        <is>
          <t>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Landmass</t>
        </is>
      </c>
      <c r="F1" s="1" t="inlineStr">
        <is>
          <t>Capacity (t/day)</t>
        </is>
      </c>
      <c r="G1" s="1" t="inlineStr">
        <is>
          <t>Unit operating cost (RMB/t)</t>
        </is>
      </c>
    </row>
    <row r="2" ht="18" customHeight="1" s="19">
      <c r="A2" s="9" t="inlineStr">
        <is>
          <t>l1</t>
        </is>
      </c>
      <c r="B2" s="10" t="inlineStr">
        <is>
          <t>Laogang</t>
        </is>
      </c>
      <c r="C2" s="11" t="n">
        <v>30.88</v>
      </c>
      <c r="D2" s="11" t="n">
        <v>121.86</v>
      </c>
      <c r="E2" s="10" t="inlineStr">
        <is>
          <t>Shanghai mainland</t>
        </is>
      </c>
      <c r="F2" s="12" t="n">
        <v>350</v>
      </c>
      <c r="G2" s="12" t="n">
        <v>80</v>
      </c>
    </row>
    <row r="3" ht="18" customHeight="1" s="19">
      <c r="A3" s="6" t="inlineStr">
        <is>
          <t>l2</t>
        </is>
      </c>
      <c r="B3" s="4" t="inlineStr">
        <is>
          <t>Qing Pu</t>
        </is>
      </c>
      <c r="C3" s="11" t="n">
        <v>31.13</v>
      </c>
      <c r="D3" s="11" t="n">
        <v>121.06</v>
      </c>
      <c r="E3" s="4" t="inlineStr">
        <is>
          <t>Shanghai mainland</t>
        </is>
      </c>
      <c r="F3" s="12" t="n">
        <v>600</v>
      </c>
      <c r="G3" s="12" t="n">
        <v>50</v>
      </c>
    </row>
    <row r="4" ht="18" customHeight="1" s="19">
      <c r="A4" s="9" t="inlineStr">
        <is>
          <t>l3</t>
        </is>
      </c>
      <c r="B4" s="10" t="inlineStr">
        <is>
          <t>Chong Ming</t>
        </is>
      </c>
      <c r="C4" s="11" t="n">
        <v>31.64</v>
      </c>
      <c r="D4" s="11" t="n">
        <v>121.4</v>
      </c>
      <c r="E4" s="10" t="inlineStr">
        <is>
          <t>Chongming island</t>
        </is>
      </c>
      <c r="F4" s="12" t="n">
        <v>450</v>
      </c>
      <c r="G4" s="12" t="n">
        <v>60</v>
      </c>
    </row>
  </sheetData>
  <autoFilter ref="A1:G4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9" min="1" max="1"/>
    <col width="20" customWidth="1" style="19" min="2" max="2"/>
    <col width="26" customWidth="1" style="19" min="3" max="4"/>
    <col width="22" customWidth="1" style="19" min="5" max="5"/>
    <col width="16" customWidth="1" style="19" min="6" max="6"/>
    <col width="24" customWidth="1" style="19" min="7" max="7"/>
  </cols>
  <sheetData>
    <row r="1" ht="31.95" customHeight="1" s="19">
      <c r="A1" s="1" t="inlineStr">
        <is>
          <t>Class</t>
        </is>
      </c>
      <c r="B1" s="1" t="inlineStr">
        <is>
          <t>Capacity (t/day)</t>
        </is>
      </c>
      <c r="C1" s="1" t="inlineStr">
        <is>
          <t>Fixed cost (RMB/year)</t>
        </is>
      </c>
      <c r="D1" s="1" t="inlineStr">
        <is>
          <t>Operating cost (RMB/t)</t>
        </is>
      </c>
      <c r="E1" s="1" t="inlineStr">
        <is>
          <t>Electricity (kWh/t)</t>
        </is>
      </c>
      <c r="F1" s="1" t="inlineStr">
        <is>
          <t>Residue share</t>
        </is>
      </c>
      <c r="G1" s="1" t="inlineStr">
        <is>
          <t>Fixed cost (RMB/day)</t>
        </is>
      </c>
    </row>
    <row r="2" ht="18" customHeight="1" s="19">
      <c r="A2" s="9" t="inlineStr">
        <is>
          <t>s1</t>
        </is>
      </c>
      <c r="B2" s="12" t="n">
        <v>700</v>
      </c>
      <c r="C2" s="12" t="n">
        <v>12800000</v>
      </c>
      <c r="D2" s="12" t="n">
        <v>130</v>
      </c>
      <c r="E2" s="12" t="n">
        <v>265</v>
      </c>
      <c r="F2" s="17" t="n">
        <v>0.8</v>
      </c>
      <c r="G2" s="13">
        <f>C2/365</f>
        <v/>
      </c>
    </row>
    <row r="3" ht="18" customHeight="1" s="19">
      <c r="A3" s="6" t="inlineStr">
        <is>
          <t>s2</t>
        </is>
      </c>
      <c r="B3" s="12" t="n">
        <v>1000</v>
      </c>
      <c r="C3" s="12" t="n">
        <v>17200000</v>
      </c>
      <c r="D3" s="12" t="n">
        <v>123</v>
      </c>
      <c r="E3" s="12" t="n">
        <v>270</v>
      </c>
      <c r="F3" s="17" t="n">
        <v>0.825</v>
      </c>
      <c r="G3" s="8">
        <f>C3/365</f>
        <v/>
      </c>
    </row>
    <row r="4" ht="18" customHeight="1" s="19">
      <c r="A4" s="9" t="inlineStr">
        <is>
          <t>s3</t>
        </is>
      </c>
      <c r="B4" s="12" t="n">
        <v>1300</v>
      </c>
      <c r="C4" s="12" t="n">
        <v>21400000</v>
      </c>
      <c r="D4" s="12" t="n">
        <v>118</v>
      </c>
      <c r="E4" s="12" t="n">
        <v>274</v>
      </c>
      <c r="F4" s="17" t="n">
        <v>0.85</v>
      </c>
      <c r="G4" s="13">
        <f>C4/365</f>
        <v/>
      </c>
    </row>
    <row r="5" ht="18" customHeight="1" s="19">
      <c r="A5" s="6" t="inlineStr">
        <is>
          <t>s4</t>
        </is>
      </c>
      <c r="B5" s="12" t="n">
        <v>1600</v>
      </c>
      <c r="C5" s="12" t="n">
        <v>25100000</v>
      </c>
      <c r="D5" s="12" t="n">
        <v>113</v>
      </c>
      <c r="E5" s="12" t="n">
        <v>278</v>
      </c>
      <c r="F5" s="17" t="n">
        <v>0.875</v>
      </c>
      <c r="G5" s="8">
        <f>C5/365</f>
        <v/>
      </c>
    </row>
    <row r="6" ht="18" customHeight="1" s="19">
      <c r="A6" s="9" t="inlineStr">
        <is>
          <t>s5</t>
        </is>
      </c>
      <c r="B6" s="12" t="n">
        <v>2000</v>
      </c>
      <c r="C6" s="12" t="n">
        <v>29900000</v>
      </c>
      <c r="D6" s="12" t="n">
        <v>110</v>
      </c>
      <c r="E6" s="12" t="n">
        <v>280</v>
      </c>
      <c r="F6" s="17" t="n">
        <v>0.9</v>
      </c>
      <c r="G6" s="13">
        <f>C6/365</f>
        <v/>
      </c>
    </row>
  </sheetData>
  <autoFilter ref="A1:G6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9" min="1" max="1"/>
    <col width="20" customWidth="1" style="19" min="2" max="2"/>
    <col width="26" customWidth="1" style="19" min="3" max="4"/>
    <col width="20" customWidth="1" style="19" min="5" max="5"/>
    <col width="24" customWidth="1" style="19" min="6" max="6"/>
  </cols>
  <sheetData>
    <row r="1" ht="31.95" customHeight="1" s="19">
      <c r="A1" s="1" t="inlineStr">
        <is>
          <t>Class</t>
        </is>
      </c>
      <c r="B1" s="1" t="inlineStr">
        <is>
          <t>Capacity (t/day)</t>
        </is>
      </c>
      <c r="C1" s="1" t="inlineStr">
        <is>
          <t>Fixed cost (RMB/year)</t>
        </is>
      </c>
      <c r="D1" s="1" t="inlineStr">
        <is>
          <t>Operating cost (RMB/t)</t>
        </is>
      </c>
      <c r="E1" s="1" t="inlineStr">
        <is>
          <t>Marketable share</t>
        </is>
      </c>
      <c r="F1" s="1" t="inlineStr">
        <is>
          <t>Fixed cost (RMB/day)</t>
        </is>
      </c>
    </row>
    <row r="2" ht="18" customHeight="1" s="19">
      <c r="A2" s="9" t="inlineStr">
        <is>
          <t>z1</t>
        </is>
      </c>
      <c r="B2" s="12" t="n">
        <v>400</v>
      </c>
      <c r="C2" s="12" t="n">
        <v>6700000</v>
      </c>
      <c r="D2" s="12" t="n">
        <v>95</v>
      </c>
      <c r="E2" s="3" t="n">
        <v>0.7</v>
      </c>
      <c r="F2" s="13">
        <f>C2/365</f>
        <v/>
      </c>
    </row>
    <row r="3" ht="18" customHeight="1" s="19">
      <c r="A3" s="6" t="inlineStr">
        <is>
          <t>z2</t>
        </is>
      </c>
      <c r="B3" s="12" t="n">
        <v>600</v>
      </c>
      <c r="C3" s="12" t="n">
        <v>9200000</v>
      </c>
      <c r="D3" s="12" t="n">
        <v>88</v>
      </c>
      <c r="E3" s="3" t="n">
        <v>0.75</v>
      </c>
      <c r="F3" s="8">
        <f>C3/365</f>
        <v/>
      </c>
    </row>
    <row r="4" ht="18" customHeight="1" s="19">
      <c r="A4" s="9" t="inlineStr">
        <is>
          <t>z3</t>
        </is>
      </c>
      <c r="B4" s="12" t="n">
        <v>800</v>
      </c>
      <c r="C4" s="12" t="n">
        <v>11400000</v>
      </c>
      <c r="D4" s="12" t="n">
        <v>82</v>
      </c>
      <c r="E4" s="3" t="n">
        <v>0.8</v>
      </c>
      <c r="F4" s="13">
        <f>C4/365</f>
        <v/>
      </c>
    </row>
  </sheetData>
  <autoFilter ref="A1:F4"/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1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8" defaultRowHeight="14.4"/>
  <cols>
    <col width="10" customWidth="1" style="19" min="1" max="1"/>
    <col width="14" customWidth="1" style="19" min="2" max="6"/>
  </cols>
  <sheetData>
    <row r="1" ht="18" customHeight="1" s="19">
      <c r="A1" s="21" t="inlineStr">
        <is>
          <t>Daily fixed cost (RMB/day) = class cost × site premium</t>
        </is>
      </c>
    </row>
    <row r="2" ht="31.95" customHeight="1" s="19">
      <c r="A2" s="1" t="inlineStr">
        <is>
          <t>Site</t>
        </is>
      </c>
      <c r="B2" s="1" t="inlineStr">
        <is>
          <t>s1</t>
        </is>
      </c>
      <c r="C2" s="1" t="inlineStr">
        <is>
          <t>s2</t>
        </is>
      </c>
      <c r="D2" s="1" t="inlineStr">
        <is>
          <t>s3</t>
        </is>
      </c>
      <c r="E2" s="1" t="inlineStr">
        <is>
          <t>s4</t>
        </is>
      </c>
      <c r="F2" s="1" t="inlineStr">
        <is>
          <t>s5</t>
        </is>
      </c>
    </row>
    <row r="3" ht="18" customHeight="1" s="19">
      <c r="A3" s="9" t="inlineStr">
        <is>
          <t>b1</t>
        </is>
      </c>
      <c r="B3" s="13">
        <f>WTE_plants!G2*Plant_classes!G2</f>
        <v/>
      </c>
      <c r="C3" s="13">
        <f>WTE_plants!G2*Plant_classes!G3</f>
        <v/>
      </c>
      <c r="D3" s="13">
        <f>WTE_plants!G2*Plant_classes!G4</f>
        <v/>
      </c>
      <c r="E3" s="13">
        <f>WTE_plants!G2*Plant_classes!G5</f>
        <v/>
      </c>
      <c r="F3" s="13">
        <f>WTE_plants!G2*Plant_classes!G6</f>
        <v/>
      </c>
    </row>
    <row r="4" ht="18" customHeight="1" s="19">
      <c r="A4" s="6" t="inlineStr">
        <is>
          <t>b2</t>
        </is>
      </c>
      <c r="B4" s="8">
        <f>WTE_plants!G3*Plant_classes!G2</f>
        <v/>
      </c>
      <c r="C4" s="8">
        <f>WTE_plants!G3*Plant_classes!G3</f>
        <v/>
      </c>
      <c r="D4" s="8">
        <f>WTE_plants!G3*Plant_classes!G4</f>
        <v/>
      </c>
      <c r="E4" s="8">
        <f>WTE_plants!G3*Plant_classes!G5</f>
        <v/>
      </c>
      <c r="F4" s="8">
        <f>WTE_plants!G3*Plant_classes!G6</f>
        <v/>
      </c>
    </row>
    <row r="5" ht="18" customHeight="1" s="19">
      <c r="A5" s="9" t="inlineStr">
        <is>
          <t>b3</t>
        </is>
      </c>
      <c r="B5" s="13">
        <f>WTE_plants!G4*Plant_classes!G2</f>
        <v/>
      </c>
      <c r="C5" s="13">
        <f>WTE_plants!G4*Plant_classes!G3</f>
        <v/>
      </c>
      <c r="D5" s="13">
        <f>WTE_plants!G4*Plant_classes!G4</f>
        <v/>
      </c>
      <c r="E5" s="13">
        <f>WTE_plants!G4*Plant_classes!G5</f>
        <v/>
      </c>
      <c r="F5" s="13">
        <f>WTE_plants!G4*Plant_classes!G6</f>
        <v/>
      </c>
    </row>
    <row r="6" ht="18" customHeight="1" s="19">
      <c r="A6" s="6" t="inlineStr">
        <is>
          <t>b4</t>
        </is>
      </c>
      <c r="B6" s="8">
        <f>WTE_plants!G5*Plant_classes!G2</f>
        <v/>
      </c>
      <c r="C6" s="8">
        <f>WTE_plants!G5*Plant_classes!G3</f>
        <v/>
      </c>
      <c r="D6" s="8">
        <f>WTE_plants!G5*Plant_classes!G4</f>
        <v/>
      </c>
      <c r="E6" s="8">
        <f>WTE_plants!G5*Plant_classes!G5</f>
        <v/>
      </c>
      <c r="F6" s="8">
        <f>WTE_plants!G5*Plant_classes!G6</f>
        <v/>
      </c>
    </row>
    <row r="7" ht="18" customHeight="1" s="19">
      <c r="A7" s="9" t="inlineStr">
        <is>
          <t>b5</t>
        </is>
      </c>
      <c r="B7" s="13">
        <f>WTE_plants!G6*Plant_classes!G2</f>
        <v/>
      </c>
      <c r="C7" s="13">
        <f>WTE_plants!G6*Plant_classes!G3</f>
        <v/>
      </c>
      <c r="D7" s="13">
        <f>WTE_plants!G6*Plant_classes!G4</f>
        <v/>
      </c>
      <c r="E7" s="13">
        <f>WTE_plants!G6*Plant_classes!G5</f>
        <v/>
      </c>
      <c r="F7" s="13">
        <f>WTE_plants!G6*Plant_classes!G6</f>
        <v/>
      </c>
    </row>
    <row r="8" ht="18" customHeight="1" s="19">
      <c r="A8" s="6" t="inlineStr">
        <is>
          <t>b6</t>
        </is>
      </c>
      <c r="B8" s="8">
        <f>WTE_plants!G7*Plant_classes!G2</f>
        <v/>
      </c>
      <c r="C8" s="8">
        <f>WTE_plants!G7*Plant_classes!G3</f>
        <v/>
      </c>
      <c r="D8" s="8">
        <f>WTE_plants!G7*Plant_classes!G4</f>
        <v/>
      </c>
      <c r="E8" s="8">
        <f>WTE_plants!G7*Plant_classes!G5</f>
        <v/>
      </c>
      <c r="F8" s="8">
        <f>WTE_plants!G7*Plant_classes!G6</f>
        <v/>
      </c>
    </row>
    <row r="9" ht="18" customHeight="1" s="19">
      <c r="A9" s="9" t="inlineStr">
        <is>
          <t>b7</t>
        </is>
      </c>
      <c r="B9" s="13">
        <f>WTE_plants!G8*Plant_classes!G2</f>
        <v/>
      </c>
      <c r="C9" s="13">
        <f>WTE_plants!G8*Plant_classes!G3</f>
        <v/>
      </c>
      <c r="D9" s="13">
        <f>WTE_plants!G8*Plant_classes!G4</f>
        <v/>
      </c>
      <c r="E9" s="13">
        <f>WTE_plants!G8*Plant_classes!G5</f>
        <v/>
      </c>
      <c r="F9" s="13">
        <f>WTE_plants!G8*Plant_classes!G6</f>
        <v/>
      </c>
    </row>
    <row r="10" ht="18" customHeight="1" s="19">
      <c r="A10" s="6" t="inlineStr">
        <is>
          <t>b8</t>
        </is>
      </c>
      <c r="B10" s="8">
        <f>WTE_plants!G9*Plant_classes!G2</f>
        <v/>
      </c>
      <c r="C10" s="8">
        <f>WTE_plants!G9*Plant_classes!G3</f>
        <v/>
      </c>
      <c r="D10" s="8">
        <f>WTE_plants!G9*Plant_classes!G4</f>
        <v/>
      </c>
      <c r="E10" s="8">
        <f>WTE_plants!G9*Plant_classes!G5</f>
        <v/>
      </c>
      <c r="F10" s="8">
        <f>WTE_plants!G9*Plant_classes!G6</f>
        <v/>
      </c>
    </row>
    <row r="11" ht="18" customHeight="1" s="19">
      <c r="A11" s="9" t="inlineStr">
        <is>
          <t>b9</t>
        </is>
      </c>
      <c r="B11" s="13">
        <f>WTE_plants!G10*Plant_classes!G2</f>
        <v/>
      </c>
      <c r="C11" s="13">
        <f>WTE_plants!G10*Plant_classes!G3</f>
        <v/>
      </c>
      <c r="D11" s="13">
        <f>WTE_plants!G10*Plant_classes!G4</f>
        <v/>
      </c>
      <c r="E11" s="13">
        <f>WTE_plants!G10*Plant_classes!G5</f>
        <v/>
      </c>
      <c r="F11" s="13">
        <f>WTE_plants!G10*Plant_classes!G6</f>
        <v/>
      </c>
    </row>
    <row r="12" ht="18" customHeight="1" s="19">
      <c r="A12" s="6" t="inlineStr">
        <is>
          <t>b10</t>
        </is>
      </c>
      <c r="B12" s="8">
        <f>WTE_plants!G11*Plant_classes!G2</f>
        <v/>
      </c>
      <c r="C12" s="8">
        <f>WTE_plants!G11*Plant_classes!G3</f>
        <v/>
      </c>
      <c r="D12" s="8">
        <f>WTE_plants!G11*Plant_classes!G4</f>
        <v/>
      </c>
      <c r="E12" s="8">
        <f>WTE_plants!G11*Plant_classes!G5</f>
        <v/>
      </c>
      <c r="F12" s="8">
        <f>WTE_plants!G11*Plant_classes!G6</f>
        <v/>
      </c>
    </row>
  </sheetData>
  <autoFilter ref="A2:F12"/>
  <mergeCells count="1">
    <mergeCell ref="A1:F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4"/>
  <cols>
    <col width="10" customWidth="1" style="19" min="1" max="1"/>
    <col width="14" customWidth="1" style="19" min="2" max="4"/>
  </cols>
  <sheetData>
    <row r="1" ht="18" customHeight="1" s="19">
      <c r="A1" s="21" t="inlineStr">
        <is>
          <t>Daily fixed cost (RMB/day) = class cost × site premium</t>
        </is>
      </c>
    </row>
    <row r="2" ht="31.95" customHeight="1" s="19">
      <c r="A2" s="1" t="inlineStr">
        <is>
          <t>Site</t>
        </is>
      </c>
      <c r="B2" s="1" t="inlineStr">
        <is>
          <t>z1</t>
        </is>
      </c>
      <c r="C2" s="1" t="inlineStr">
        <is>
          <t>z2</t>
        </is>
      </c>
      <c r="D2" s="1" t="inlineStr">
        <is>
          <t>z3</t>
        </is>
      </c>
    </row>
    <row r="3" ht="18" customHeight="1" s="19">
      <c r="A3" s="9" t="inlineStr">
        <is>
          <t>j1</t>
        </is>
      </c>
      <c r="B3" s="13">
        <f>Recovery_centres!G2*Recovery_classes!F2</f>
        <v/>
      </c>
      <c r="C3" s="13">
        <f>Recovery_centres!G2*Recovery_classes!F3</f>
        <v/>
      </c>
      <c r="D3" s="13">
        <f>Recovery_centres!G2*Recovery_classes!F4</f>
        <v/>
      </c>
    </row>
    <row r="4" ht="18" customHeight="1" s="19">
      <c r="A4" s="6" t="inlineStr">
        <is>
          <t>j2</t>
        </is>
      </c>
      <c r="B4" s="8">
        <f>Recovery_centres!G3*Recovery_classes!F2</f>
        <v/>
      </c>
      <c r="C4" s="8">
        <f>Recovery_centres!G3*Recovery_classes!F3</f>
        <v/>
      </c>
      <c r="D4" s="8">
        <f>Recovery_centres!G3*Recovery_classes!F4</f>
        <v/>
      </c>
    </row>
    <row r="5" ht="18" customHeight="1" s="19">
      <c r="A5" s="9" t="inlineStr">
        <is>
          <t>j3</t>
        </is>
      </c>
      <c r="B5" s="13">
        <f>Recovery_centres!G4*Recovery_classes!F2</f>
        <v/>
      </c>
      <c r="C5" s="13">
        <f>Recovery_centres!G4*Recovery_classes!F3</f>
        <v/>
      </c>
      <c r="D5" s="13">
        <f>Recovery_centres!G4*Recovery_classes!F4</f>
        <v/>
      </c>
    </row>
    <row r="6" ht="18" customHeight="1" s="19">
      <c r="A6" s="6" t="inlineStr">
        <is>
          <t>j4</t>
        </is>
      </c>
      <c r="B6" s="8">
        <f>Recovery_centres!G5*Recovery_classes!F2</f>
        <v/>
      </c>
      <c r="C6" s="8">
        <f>Recovery_centres!G5*Recovery_classes!F3</f>
        <v/>
      </c>
      <c r="D6" s="8">
        <f>Recovery_centres!G5*Recovery_classes!F4</f>
        <v/>
      </c>
    </row>
    <row r="7" ht="18" customHeight="1" s="19">
      <c r="A7" s="9" t="inlineStr">
        <is>
          <t>j5</t>
        </is>
      </c>
      <c r="B7" s="13">
        <f>Recovery_centres!G6*Recovery_classes!F2</f>
        <v/>
      </c>
      <c r="C7" s="13">
        <f>Recovery_centres!G6*Recovery_classes!F3</f>
        <v/>
      </c>
      <c r="D7" s="13">
        <f>Recovery_centres!G6*Recovery_classes!F4</f>
        <v/>
      </c>
    </row>
    <row r="8" ht="18" customHeight="1" s="19">
      <c r="A8" s="6" t="inlineStr">
        <is>
          <t>j6</t>
        </is>
      </c>
      <c r="B8" s="8">
        <f>Recovery_centres!G7*Recovery_classes!F2</f>
        <v/>
      </c>
      <c r="C8" s="8">
        <f>Recovery_centres!G7*Recovery_classes!F3</f>
        <v/>
      </c>
      <c r="D8" s="8">
        <f>Recovery_centres!G7*Recovery_classes!F4</f>
        <v/>
      </c>
    </row>
  </sheetData>
  <autoFilter ref="A2:D8"/>
  <mergeCells count="1">
    <mergeCell ref="A1:D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K4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4.4"/>
  <cols>
    <col width="14" customWidth="1" style="19" min="1" max="1"/>
    <col width="12" customWidth="1" style="19" min="2" max="11"/>
  </cols>
  <sheetData>
    <row r="1" ht="18" customHeight="1" s="19">
      <c r="A1" s="21" t="inlineStr">
        <is>
          <t>City to WTE plant, generalised km</t>
        </is>
      </c>
    </row>
    <row r="2" ht="31.95" customHeight="1" s="19">
      <c r="A2" s="1" t="inlineStr">
        <is>
          <t>From \ to</t>
        </is>
      </c>
      <c r="B2" s="1" t="inlineStr">
        <is>
          <t>b1</t>
        </is>
      </c>
      <c r="C2" s="1" t="inlineStr">
        <is>
          <t>b2</t>
        </is>
      </c>
      <c r="D2" s="1" t="inlineStr">
        <is>
          <t>b3</t>
        </is>
      </c>
      <c r="E2" s="1" t="inlineStr">
        <is>
          <t>b4</t>
        </is>
      </c>
      <c r="F2" s="1" t="inlineStr">
        <is>
          <t>b5</t>
        </is>
      </c>
      <c r="G2" s="1" t="inlineStr">
        <is>
          <t>b6</t>
        </is>
      </c>
      <c r="H2" s="1" t="inlineStr">
        <is>
          <t>b7</t>
        </is>
      </c>
      <c r="I2" s="1" t="inlineStr">
        <is>
          <t>b8</t>
        </is>
      </c>
      <c r="J2" s="1" t="inlineStr">
        <is>
          <t>b9</t>
        </is>
      </c>
      <c r="K2" s="1" t="inlineStr">
        <is>
          <t>b10</t>
        </is>
      </c>
    </row>
    <row r="3" ht="18" customHeight="1" s="19">
      <c r="A3" s="6" t="inlineStr">
        <is>
          <t>i1</t>
        </is>
      </c>
      <c r="B3" s="8" t="n">
        <v>17.3019</v>
      </c>
      <c r="C3" s="8" t="n">
        <v>61.1721</v>
      </c>
      <c r="D3" s="8" t="n">
        <v>45.06</v>
      </c>
      <c r="E3" s="8" t="n">
        <v>52.1584</v>
      </c>
      <c r="F3" s="8" t="n">
        <v>55.7136</v>
      </c>
      <c r="G3" s="8" t="n">
        <v>23.3046</v>
      </c>
      <c r="H3" s="8" t="n">
        <v>27.979</v>
      </c>
      <c r="I3" s="8" t="n">
        <v>84.0287</v>
      </c>
      <c r="J3" s="8" t="n">
        <v>63.7985</v>
      </c>
      <c r="K3" s="8" t="n">
        <v>28.2083</v>
      </c>
    </row>
    <row r="4" ht="18" customHeight="1" s="19">
      <c r="A4" s="9" t="inlineStr">
        <is>
          <t>i2</t>
        </is>
      </c>
      <c r="B4" s="13" t="n">
        <v>10.8924</v>
      </c>
      <c r="C4" s="13" t="n">
        <v>55.2057</v>
      </c>
      <c r="D4" s="13" t="n">
        <v>41.693</v>
      </c>
      <c r="E4" s="13" t="n">
        <v>55.0509</v>
      </c>
      <c r="F4" s="13" t="n">
        <v>60.5888</v>
      </c>
      <c r="G4" s="13" t="n">
        <v>29.6814</v>
      </c>
      <c r="H4" s="13" t="n">
        <v>33.1918</v>
      </c>
      <c r="I4" s="13" t="n">
        <v>89.3553</v>
      </c>
      <c r="J4" s="13" t="n">
        <v>64.4469</v>
      </c>
      <c r="K4" s="13" t="n">
        <v>28.2522</v>
      </c>
    </row>
    <row r="5" ht="18" customHeight="1" s="19">
      <c r="A5" s="6" t="inlineStr">
        <is>
          <t>i3</t>
        </is>
      </c>
      <c r="B5" s="8" t="n">
        <v>5.9754</v>
      </c>
      <c r="C5" s="8" t="n">
        <v>50.4125</v>
      </c>
      <c r="D5" s="8" t="n">
        <v>39.7806</v>
      </c>
      <c r="E5" s="8" t="n">
        <v>58.2623</v>
      </c>
      <c r="F5" s="8" t="n">
        <v>65.175</v>
      </c>
      <c r="G5" s="8" t="n">
        <v>35.2391</v>
      </c>
      <c r="H5" s="8" t="n">
        <v>37.8135</v>
      </c>
      <c r="I5" s="8" t="n">
        <v>93.9542</v>
      </c>
      <c r="J5" s="8" t="n">
        <v>65.83459999999999</v>
      </c>
      <c r="K5" s="8" t="n">
        <v>29.7862</v>
      </c>
    </row>
    <row r="6" ht="18" customHeight="1" s="19">
      <c r="A6" s="9" t="inlineStr">
        <is>
          <t>i4</t>
        </is>
      </c>
      <c r="B6" s="13" t="n">
        <v>13.6714</v>
      </c>
      <c r="C6" s="13" t="n">
        <v>57.4956</v>
      </c>
      <c r="D6" s="13" t="n">
        <v>47.5814</v>
      </c>
      <c r="E6" s="13" t="n">
        <v>62.039</v>
      </c>
      <c r="F6" s="13" t="n">
        <v>66.48690000000001</v>
      </c>
      <c r="G6" s="13" t="n">
        <v>33.4323</v>
      </c>
      <c r="H6" s="13" t="n">
        <v>31.1748</v>
      </c>
      <c r="I6" s="13" t="n">
        <v>87.14830000000001</v>
      </c>
      <c r="J6" s="13" t="n">
        <v>71.7102</v>
      </c>
      <c r="K6" s="13" t="n">
        <v>35.5061</v>
      </c>
    </row>
    <row r="7" ht="18" customHeight="1" s="19">
      <c r="A7" s="6" t="inlineStr">
        <is>
          <t>i5</t>
        </is>
      </c>
      <c r="B7" s="8" t="n">
        <v>9.457599999999999</v>
      </c>
      <c r="C7" s="8" t="n">
        <v>42.9178</v>
      </c>
      <c r="D7" s="8" t="n">
        <v>40.6917</v>
      </c>
      <c r="E7" s="8" t="n">
        <v>67.6551</v>
      </c>
      <c r="F7" s="8" t="n">
        <v>76.2805</v>
      </c>
      <c r="G7" s="8" t="n">
        <v>47.0557</v>
      </c>
      <c r="H7" s="8" t="n">
        <v>47.0135</v>
      </c>
      <c r="I7" s="8" t="n">
        <v>102.8401</v>
      </c>
      <c r="J7" s="8" t="n">
        <v>72.26519999999999</v>
      </c>
      <c r="K7" s="8" t="n">
        <v>37.5841</v>
      </c>
    </row>
    <row r="8" ht="18" customHeight="1" s="19">
      <c r="A8" s="9" t="inlineStr">
        <is>
          <t>i6</t>
        </is>
      </c>
      <c r="B8" s="13" t="n">
        <v>24.428</v>
      </c>
      <c r="C8" s="13" t="n">
        <v>21.0079</v>
      </c>
      <c r="D8" s="13" t="n">
        <v>30.1754</v>
      </c>
      <c r="E8" s="13" t="n">
        <v>70.9281</v>
      </c>
      <c r="F8" s="13" t="n">
        <v>84.6974</v>
      </c>
      <c r="G8" s="13" t="n">
        <v>62.6266</v>
      </c>
      <c r="H8" s="13" t="n">
        <v>67.8258</v>
      </c>
      <c r="I8" s="13" t="n">
        <v>123.898</v>
      </c>
      <c r="J8" s="13" t="n">
        <v>68.24809999999999</v>
      </c>
      <c r="K8" s="13" t="n">
        <v>40.8586</v>
      </c>
    </row>
    <row r="9" ht="18" customHeight="1" s="19">
      <c r="A9" s="6" t="inlineStr">
        <is>
          <t>i7</t>
        </is>
      </c>
      <c r="B9" s="8" t="n">
        <v>17.5203</v>
      </c>
      <c r="C9" s="8" t="n">
        <v>60.3493</v>
      </c>
      <c r="D9" s="8" t="n">
        <v>42.5776</v>
      </c>
      <c r="E9" s="8" t="n">
        <v>48.7786</v>
      </c>
      <c r="F9" s="8" t="n">
        <v>52.9525</v>
      </c>
      <c r="G9" s="8" t="n">
        <v>22.0168</v>
      </c>
      <c r="H9" s="8" t="n">
        <v>30.0269</v>
      </c>
      <c r="I9" s="8" t="n">
        <v>85.8767</v>
      </c>
      <c r="J9" s="8" t="n">
        <v>60.3279</v>
      </c>
      <c r="K9" s="8" t="n">
        <v>24.854</v>
      </c>
    </row>
    <row r="10" ht="18" customHeight="1" s="19">
      <c r="A10" s="9" t="inlineStr">
        <is>
          <t>i8</t>
        </is>
      </c>
      <c r="B10" s="13" t="n">
        <v>18.8474</v>
      </c>
      <c r="C10" s="13" t="n">
        <v>60.9285</v>
      </c>
      <c r="D10" s="13" t="n">
        <v>42.0191</v>
      </c>
      <c r="E10" s="13" t="n">
        <v>46.7145</v>
      </c>
      <c r="F10" s="13" t="n">
        <v>50.8876</v>
      </c>
      <c r="G10" s="13" t="n">
        <v>20.5927</v>
      </c>
      <c r="H10" s="13" t="n">
        <v>30.5245</v>
      </c>
      <c r="I10" s="13" t="n">
        <v>86.1795</v>
      </c>
      <c r="J10" s="13" t="n">
        <v>58.576</v>
      </c>
      <c r="K10" s="13" t="n">
        <v>23.3851</v>
      </c>
    </row>
    <row r="11" ht="18" customHeight="1" s="19">
      <c r="A11" s="6" t="inlineStr">
        <is>
          <t>i9</t>
        </is>
      </c>
      <c r="B11" s="8" t="n">
        <v>22.6243</v>
      </c>
      <c r="C11" s="8" t="n">
        <v>62.0896</v>
      </c>
      <c r="D11" s="8" t="n">
        <v>40.1666</v>
      </c>
      <c r="E11" s="8" t="n">
        <v>40.837</v>
      </c>
      <c r="F11" s="8" t="n">
        <v>45.416</v>
      </c>
      <c r="G11" s="8" t="n">
        <v>18.1657</v>
      </c>
      <c r="H11" s="8" t="n">
        <v>33.3422</v>
      </c>
      <c r="I11" s="8" t="n">
        <v>88.319</v>
      </c>
      <c r="J11" s="8" t="n">
        <v>53.354</v>
      </c>
      <c r="K11" s="8" t="n">
        <v>19.2086</v>
      </c>
    </row>
    <row r="12" ht="18" customHeight="1" s="19">
      <c r="A12" s="9" t="inlineStr">
        <is>
          <t>i10</t>
        </is>
      </c>
      <c r="B12" s="13" t="n">
        <v>25.0093</v>
      </c>
      <c r="C12" s="13" t="n">
        <v>65.994</v>
      </c>
      <c r="D12" s="13" t="n">
        <v>44.6681</v>
      </c>
      <c r="E12" s="13" t="n">
        <v>42.7167</v>
      </c>
      <c r="F12" s="13" t="n">
        <v>45.1443</v>
      </c>
      <c r="G12" s="13" t="n">
        <v>14.5945</v>
      </c>
      <c r="H12" s="13" t="n">
        <v>29.0421</v>
      </c>
      <c r="I12" s="13" t="n">
        <v>83.8588</v>
      </c>
      <c r="J12" s="13" t="n">
        <v>56.683</v>
      </c>
      <c r="K12" s="13" t="n">
        <v>23.4405</v>
      </c>
    </row>
    <row r="13" ht="18" customHeight="1" s="19">
      <c r="A13" s="6" t="inlineStr">
        <is>
          <t>i11</t>
        </is>
      </c>
      <c r="B13" s="8" t="n">
        <v>22.7988</v>
      </c>
      <c r="C13" s="8" t="n">
        <v>64.9264</v>
      </c>
      <c r="D13" s="8" t="n">
        <v>45.1611</v>
      </c>
      <c r="E13" s="8" t="n">
        <v>45.866</v>
      </c>
      <c r="F13" s="8" t="n">
        <v>48.4141</v>
      </c>
      <c r="G13" s="8" t="n">
        <v>16.6693</v>
      </c>
      <c r="H13" s="8" t="n">
        <v>27.6735</v>
      </c>
      <c r="I13" s="8" t="n">
        <v>82.9924</v>
      </c>
      <c r="J13" s="8" t="n">
        <v>59.2427</v>
      </c>
      <c r="K13" s="8" t="n">
        <v>25.1109</v>
      </c>
    </row>
    <row r="14" ht="18" customHeight="1" s="19">
      <c r="A14" s="9" t="inlineStr">
        <is>
          <t>i12</t>
        </is>
      </c>
      <c r="B14" s="13" t="n">
        <v>30.0533</v>
      </c>
      <c r="C14" s="13" t="n">
        <v>72.3015</v>
      </c>
      <c r="D14" s="13" t="n">
        <v>51.4055</v>
      </c>
      <c r="E14" s="13" t="n">
        <v>45.5264</v>
      </c>
      <c r="F14" s="13" t="n">
        <v>44.7631</v>
      </c>
      <c r="G14" s="13" t="n">
        <v>9.929600000000001</v>
      </c>
      <c r="H14" s="13" t="n">
        <v>23.1323</v>
      </c>
      <c r="I14" s="13" t="n">
        <v>77.3927</v>
      </c>
      <c r="J14" s="13" t="n">
        <v>61.4314</v>
      </c>
      <c r="K14" s="13" t="n">
        <v>29.7011</v>
      </c>
    </row>
    <row r="15" ht="18" customHeight="1" s="19">
      <c r="A15" s="6" t="inlineStr">
        <is>
          <t>i13</t>
        </is>
      </c>
      <c r="B15" s="8" t="n">
        <v>29.8231</v>
      </c>
      <c r="C15" s="8" t="n">
        <v>70.8222</v>
      </c>
      <c r="D15" s="8" t="n">
        <v>48.632</v>
      </c>
      <c r="E15" s="8" t="n">
        <v>41.8822</v>
      </c>
      <c r="F15" s="8" t="n">
        <v>42.0748</v>
      </c>
      <c r="G15" s="8" t="n">
        <v>9.679399999999999</v>
      </c>
      <c r="H15" s="8" t="n">
        <v>26.8511</v>
      </c>
      <c r="I15" s="8" t="n">
        <v>80.8078</v>
      </c>
      <c r="J15" s="8" t="n">
        <v>57.6347</v>
      </c>
      <c r="K15" s="8" t="n">
        <v>26.3439</v>
      </c>
    </row>
    <row r="16" ht="18" customHeight="1" s="19">
      <c r="A16" s="9" t="inlineStr">
        <is>
          <t>i14</t>
        </is>
      </c>
      <c r="B16" s="13" t="n">
        <v>24.9148</v>
      </c>
      <c r="C16" s="13" t="n">
        <v>68.06100000000001</v>
      </c>
      <c r="D16" s="13" t="n">
        <v>49.2156</v>
      </c>
      <c r="E16" s="13" t="n">
        <v>48.7828</v>
      </c>
      <c r="F16" s="13" t="n">
        <v>49.7537</v>
      </c>
      <c r="G16" s="13" t="n">
        <v>15.6306</v>
      </c>
      <c r="H16" s="13" t="n">
        <v>23.5083</v>
      </c>
      <c r="I16" s="13" t="n">
        <v>78.92010000000001</v>
      </c>
      <c r="J16" s="13" t="n">
        <v>63.0066</v>
      </c>
      <c r="K16" s="13" t="n">
        <v>29.2476</v>
      </c>
    </row>
    <row r="17" ht="18" customHeight="1" s="19">
      <c r="A17" s="6" t="inlineStr">
        <is>
          <t>i15</t>
        </is>
      </c>
      <c r="B17" s="8" t="n">
        <v>21.1623</v>
      </c>
      <c r="C17" s="8" t="n">
        <v>65.23480000000001</v>
      </c>
      <c r="D17" s="8" t="n">
        <v>48.894</v>
      </c>
      <c r="E17" s="8" t="n">
        <v>53.0732</v>
      </c>
      <c r="F17" s="8" t="n">
        <v>55.0095</v>
      </c>
      <c r="G17" s="8" t="n">
        <v>20.9214</v>
      </c>
      <c r="H17" s="8" t="n">
        <v>23.9156</v>
      </c>
      <c r="I17" s="8" t="n">
        <v>79.9332</v>
      </c>
      <c r="J17" s="8" t="n">
        <v>65.9961</v>
      </c>
      <c r="K17" s="8" t="n">
        <v>31.0019</v>
      </c>
    </row>
    <row r="18" ht="18" customHeight="1" s="19">
      <c r="A18" s="9" t="inlineStr">
        <is>
          <t>i16</t>
        </is>
      </c>
      <c r="B18" s="13" t="n">
        <v>18.6226</v>
      </c>
      <c r="C18" s="13" t="n">
        <v>63.0989</v>
      </c>
      <c r="D18" s="13" t="n">
        <v>49.1262</v>
      </c>
      <c r="E18" s="13" t="n">
        <v>56.9391</v>
      </c>
      <c r="F18" s="13" t="n">
        <v>59.5655</v>
      </c>
      <c r="G18" s="13" t="n">
        <v>25.514</v>
      </c>
      <c r="H18" s="13" t="n">
        <v>25.1797</v>
      </c>
      <c r="I18" s="13" t="n">
        <v>81.3456</v>
      </c>
      <c r="J18" s="13" t="n">
        <v>68.833</v>
      </c>
      <c r="K18" s="13" t="n">
        <v>33.1788</v>
      </c>
    </row>
    <row r="19" ht="18" customHeight="1" s="19">
      <c r="A19" s="6" t="inlineStr">
        <is>
          <t>i17</t>
        </is>
      </c>
      <c r="B19" s="8" t="n">
        <v>30.4236</v>
      </c>
      <c r="C19" s="8" t="n">
        <v>61.8308</v>
      </c>
      <c r="D19" s="8" t="n">
        <v>34.2852</v>
      </c>
      <c r="E19" s="8" t="n">
        <v>28.6055</v>
      </c>
      <c r="F19" s="8" t="n">
        <v>37.2647</v>
      </c>
      <c r="G19" s="8" t="n">
        <v>23.2535</v>
      </c>
      <c r="H19" s="8" t="n">
        <v>44.5363</v>
      </c>
      <c r="I19" s="8" t="n">
        <v>98.3592</v>
      </c>
      <c r="J19" s="8" t="n">
        <v>40.531</v>
      </c>
      <c r="K19" s="8" t="n">
        <v>10.1946</v>
      </c>
    </row>
    <row r="20" ht="18" customHeight="1" s="19">
      <c r="A20" s="9" t="inlineStr">
        <is>
          <t>i18</t>
        </is>
      </c>
      <c r="B20" s="13" t="n">
        <v>33.8476</v>
      </c>
      <c r="C20" s="13" t="n">
        <v>68.7102</v>
      </c>
      <c r="D20" s="13" t="n">
        <v>41.8864</v>
      </c>
      <c r="E20" s="13" t="n">
        <v>29.4043</v>
      </c>
      <c r="F20" s="13" t="n">
        <v>33.3057</v>
      </c>
      <c r="G20" s="13" t="n">
        <v>16.1121</v>
      </c>
      <c r="H20" s="13" t="n">
        <v>39.2079</v>
      </c>
      <c r="I20" s="13" t="n">
        <v>92.1305</v>
      </c>
      <c r="J20" s="13" t="n">
        <v>45.0877</v>
      </c>
      <c r="K20" s="13" t="n">
        <v>17.8144</v>
      </c>
    </row>
    <row r="21" ht="18" customHeight="1" s="19">
      <c r="A21" s="6" t="inlineStr">
        <is>
          <t>i19</t>
        </is>
      </c>
      <c r="B21" s="8" t="n">
        <v>26.062</v>
      </c>
      <c r="C21" s="8" t="n">
        <v>60.7078</v>
      </c>
      <c r="D21" s="8" t="n">
        <v>35.4408</v>
      </c>
      <c r="E21" s="8" t="n">
        <v>33.8634</v>
      </c>
      <c r="F21" s="8" t="n">
        <v>41.01</v>
      </c>
      <c r="G21" s="8" t="n">
        <v>21.1422</v>
      </c>
      <c r="H21" s="8" t="n">
        <v>40.268</v>
      </c>
      <c r="I21" s="8" t="n">
        <v>94.6549</v>
      </c>
      <c r="J21" s="8" t="n">
        <v>45.6352</v>
      </c>
      <c r="K21" s="8" t="n">
        <v>12.4668</v>
      </c>
    </row>
    <row r="22" ht="18" customHeight="1" s="19">
      <c r="A22" s="9" t="inlineStr">
        <is>
          <t>i20</t>
        </is>
      </c>
      <c r="B22" s="13" t="n">
        <v>28.7409</v>
      </c>
      <c r="C22" s="13" t="n">
        <v>49.2784</v>
      </c>
      <c r="D22" s="13" t="n">
        <v>19.8006</v>
      </c>
      <c r="E22" s="13" t="n">
        <v>32.4742</v>
      </c>
      <c r="F22" s="13" t="n">
        <v>47.4057</v>
      </c>
      <c r="G22" s="13" t="n">
        <v>37.418</v>
      </c>
      <c r="H22" s="13" t="n">
        <v>56.1839</v>
      </c>
      <c r="I22" s="13" t="n">
        <v>111.015</v>
      </c>
      <c r="J22" s="13" t="n">
        <v>34.9674</v>
      </c>
      <c r="K22" s="13" t="n">
        <v>4.364</v>
      </c>
    </row>
    <row r="23" ht="18" customHeight="1" s="19">
      <c r="A23" s="6" t="inlineStr">
        <is>
          <t>i21</t>
        </is>
      </c>
      <c r="B23" s="8" t="n">
        <v>37.625</v>
      </c>
      <c r="C23" s="8" t="n">
        <v>81.8005</v>
      </c>
      <c r="D23" s="8" t="n">
        <v>68.8428</v>
      </c>
      <c r="E23" s="8" t="n">
        <v>68.9879</v>
      </c>
      <c r="F23" s="8" t="n">
        <v>65.5847</v>
      </c>
      <c r="G23" s="8" t="n">
        <v>29.0292</v>
      </c>
      <c r="H23" s="8" t="n">
        <v>8.809799999999999</v>
      </c>
      <c r="I23" s="8" t="n">
        <v>63.3268</v>
      </c>
      <c r="J23" s="8" t="n">
        <v>84.66630000000001</v>
      </c>
      <c r="K23" s="8" t="n">
        <v>50.8386</v>
      </c>
    </row>
    <row r="24" ht="18" customHeight="1" s="19">
      <c r="A24" s="9" t="inlineStr">
        <is>
          <t>i22</t>
        </is>
      </c>
      <c r="B24" s="13" t="n">
        <v>31.8976</v>
      </c>
      <c r="C24" s="13" t="n">
        <v>75.74720000000001</v>
      </c>
      <c r="D24" s="13" t="n">
        <v>57.3071</v>
      </c>
      <c r="E24" s="13" t="n">
        <v>52.8811</v>
      </c>
      <c r="F24" s="13" t="n">
        <v>50.5697</v>
      </c>
      <c r="G24" s="13" t="n">
        <v>13.9676</v>
      </c>
      <c r="H24" s="13" t="n">
        <v>15.8121</v>
      </c>
      <c r="I24" s="13" t="n">
        <v>70.8468</v>
      </c>
      <c r="J24" s="13" t="n">
        <v>69.0261</v>
      </c>
      <c r="K24" s="13" t="n">
        <v>36.6762</v>
      </c>
    </row>
    <row r="25" ht="18" customHeight="1" s="19">
      <c r="A25" s="6" t="inlineStr">
        <is>
          <t>i23</t>
        </is>
      </c>
      <c r="B25" s="8" t="n">
        <v>48.2937</v>
      </c>
      <c r="C25" s="8" t="n">
        <v>92.64579999999999</v>
      </c>
      <c r="D25" s="8" t="n">
        <v>74.6605</v>
      </c>
      <c r="E25" s="8" t="n">
        <v>63.9363</v>
      </c>
      <c r="F25" s="8" t="n">
        <v>55.8897</v>
      </c>
      <c r="G25" s="8" t="n">
        <v>22.8243</v>
      </c>
      <c r="H25" s="8" t="n">
        <v>7.4277</v>
      </c>
      <c r="I25" s="8" t="n">
        <v>54.0159</v>
      </c>
      <c r="J25" s="8" t="n">
        <v>82.8653</v>
      </c>
      <c r="K25" s="8" t="n">
        <v>53.1782</v>
      </c>
    </row>
    <row r="26" ht="18" customHeight="1" s="19">
      <c r="A26" s="9" t="inlineStr">
        <is>
          <t>i24</t>
        </is>
      </c>
      <c r="B26" s="13" t="n">
        <v>54.413</v>
      </c>
      <c r="C26" s="13" t="n">
        <v>97.1553</v>
      </c>
      <c r="D26" s="13" t="n">
        <v>74.5958</v>
      </c>
      <c r="E26" s="13" t="n">
        <v>54.4142</v>
      </c>
      <c r="F26" s="13" t="n">
        <v>42.8919</v>
      </c>
      <c r="G26" s="13" t="n">
        <v>18.0309</v>
      </c>
      <c r="H26" s="13" t="n">
        <v>22.0168</v>
      </c>
      <c r="I26" s="13" t="n">
        <v>64.6708</v>
      </c>
      <c r="J26" s="13" t="n">
        <v>75.4769</v>
      </c>
      <c r="K26" s="13" t="n">
        <v>51.1119</v>
      </c>
    </row>
    <row r="27" ht="18" customHeight="1" s="19">
      <c r="A27" s="6" t="inlineStr">
        <is>
          <t>i25</t>
        </is>
      </c>
      <c r="B27" s="8" t="n">
        <v>59.5645</v>
      </c>
      <c r="C27" s="8" t="n">
        <v>98.7972</v>
      </c>
      <c r="D27" s="8" t="n">
        <v>72.1446</v>
      </c>
      <c r="E27" s="8" t="n">
        <v>42.5674</v>
      </c>
      <c r="F27" s="8" t="n">
        <v>27.7049</v>
      </c>
      <c r="G27" s="8" t="n">
        <v>20.2712</v>
      </c>
      <c r="H27" s="8" t="n">
        <v>36.8624</v>
      </c>
      <c r="I27" s="8" t="n">
        <v>80.5591</v>
      </c>
      <c r="J27" s="8" t="n">
        <v>65.15389999999999</v>
      </c>
      <c r="K27" s="8" t="n">
        <v>48.0353</v>
      </c>
    </row>
    <row r="28" ht="18" customHeight="1" s="19">
      <c r="A28" s="9" t="inlineStr">
        <is>
          <t>i26</t>
        </is>
      </c>
      <c r="B28" s="13" t="n">
        <v>42.2738</v>
      </c>
      <c r="C28" s="13" t="n">
        <v>83.95440000000001</v>
      </c>
      <c r="D28" s="13" t="n">
        <v>60.9151</v>
      </c>
      <c r="E28" s="13" t="n">
        <v>44.9319</v>
      </c>
      <c r="F28" s="13" t="n">
        <v>38.4731</v>
      </c>
      <c r="G28" s="13" t="n">
        <v>4.4866</v>
      </c>
      <c r="H28" s="13" t="n">
        <v>22.5454</v>
      </c>
      <c r="I28" s="13" t="n">
        <v>72.5471</v>
      </c>
      <c r="J28" s="13" t="n">
        <v>64.2658</v>
      </c>
      <c r="K28" s="13" t="n">
        <v>37.5615</v>
      </c>
    </row>
    <row r="29" ht="18" customHeight="1" s="19">
      <c r="A29" s="6" t="inlineStr">
        <is>
          <t>i27</t>
        </is>
      </c>
      <c r="B29" s="8" t="n">
        <v>67.5271</v>
      </c>
      <c r="C29" s="8" t="n">
        <v>81.1142</v>
      </c>
      <c r="D29" s="8" t="n">
        <v>48.4722</v>
      </c>
      <c r="E29" s="8" t="n">
        <v>14.5863</v>
      </c>
      <c r="F29" s="8" t="n">
        <v>32.8524</v>
      </c>
      <c r="G29" s="8" t="n">
        <v>55.6564</v>
      </c>
      <c r="H29" s="8" t="n">
        <v>80.90170000000001</v>
      </c>
      <c r="I29" s="8" t="n">
        <v>131.7989</v>
      </c>
      <c r="J29" s="8" t="n">
        <v>13.2586</v>
      </c>
      <c r="K29" s="8" t="n">
        <v>39.146</v>
      </c>
    </row>
    <row r="30" ht="18" customHeight="1" s="19">
      <c r="A30" s="9" t="inlineStr">
        <is>
          <t>i28</t>
        </is>
      </c>
      <c r="B30" s="13" t="n">
        <v>72.38420000000001</v>
      </c>
      <c r="C30" s="13" t="n">
        <v>65.9605</v>
      </c>
      <c r="D30" s="13" t="n">
        <v>40.126</v>
      </c>
      <c r="E30" s="13" t="n">
        <v>43.6744</v>
      </c>
      <c r="F30" s="13" t="n">
        <v>64.6438</v>
      </c>
      <c r="G30" s="13" t="n">
        <v>77.66240000000001</v>
      </c>
      <c r="H30" s="13" t="n">
        <v>100.3933</v>
      </c>
      <c r="I30" s="13" t="n">
        <v>153.9382</v>
      </c>
      <c r="J30" s="13" t="n">
        <v>20.5168</v>
      </c>
      <c r="K30" s="13" t="n">
        <v>48.7271</v>
      </c>
    </row>
    <row r="31" ht="18" customHeight="1" s="19">
      <c r="A31" s="6" t="inlineStr">
        <is>
          <t>i29</t>
        </is>
      </c>
      <c r="B31" s="8" t="n">
        <v>52.0878</v>
      </c>
      <c r="C31" s="8" t="n">
        <v>75.7949</v>
      </c>
      <c r="D31" s="8" t="n">
        <v>43.6369</v>
      </c>
      <c r="E31" s="8" t="n">
        <v>6.5794</v>
      </c>
      <c r="F31" s="8" t="n">
        <v>21.8639</v>
      </c>
      <c r="G31" s="8" t="n">
        <v>35.3763</v>
      </c>
      <c r="H31" s="8" t="n">
        <v>60.627</v>
      </c>
      <c r="I31" s="8" t="n">
        <v>111.6468</v>
      </c>
      <c r="J31" s="8" t="n">
        <v>26.46</v>
      </c>
      <c r="K31" s="8" t="n">
        <v>25.2241</v>
      </c>
    </row>
    <row r="32" ht="18" customHeight="1" s="19">
      <c r="A32" s="9" t="inlineStr">
        <is>
          <t>i30</t>
        </is>
      </c>
      <c r="B32" s="13" t="n">
        <v>52.7994</v>
      </c>
      <c r="C32" s="13" t="n">
        <v>81.5835</v>
      </c>
      <c r="D32" s="13" t="n">
        <v>50.4845</v>
      </c>
      <c r="E32" s="13" t="n">
        <v>13.7119</v>
      </c>
      <c r="F32" s="13" t="n">
        <v>15.131</v>
      </c>
      <c r="G32" s="13" t="n">
        <v>28.5979</v>
      </c>
      <c r="H32" s="13" t="n">
        <v>54.0765</v>
      </c>
      <c r="I32" s="13" t="n">
        <v>103.8597</v>
      </c>
      <c r="J32" s="13" t="n">
        <v>35.9926</v>
      </c>
      <c r="K32" s="13" t="n">
        <v>29.0476</v>
      </c>
    </row>
    <row r="33" ht="18" customHeight="1" s="19">
      <c r="A33" s="6" t="inlineStr">
        <is>
          <t>i31</t>
        </is>
      </c>
      <c r="B33" s="8" t="n">
        <v>37.4051</v>
      </c>
      <c r="C33" s="8" t="n">
        <v>69.4228</v>
      </c>
      <c r="D33" s="8" t="n">
        <v>40.8465</v>
      </c>
      <c r="E33" s="8" t="n">
        <v>24.1216</v>
      </c>
      <c r="F33" s="8" t="n">
        <v>29.7455</v>
      </c>
      <c r="G33" s="8" t="n">
        <v>20.1245</v>
      </c>
      <c r="H33" s="8" t="n">
        <v>44.1752</v>
      </c>
      <c r="I33" s="8" t="n">
        <v>96.6165</v>
      </c>
      <c r="J33" s="8" t="n">
        <v>40.222</v>
      </c>
      <c r="K33" s="8" t="n">
        <v>16.9317</v>
      </c>
    </row>
    <row r="34" ht="18" customHeight="1" s="19">
      <c r="A34" s="9" t="inlineStr">
        <is>
          <t>i32</t>
        </is>
      </c>
      <c r="B34" s="13" t="n">
        <v>61.2093</v>
      </c>
      <c r="C34" s="13" t="n">
        <v>93.123</v>
      </c>
      <c r="D34" s="13" t="n">
        <v>62.5566</v>
      </c>
      <c r="E34" s="13" t="n">
        <v>23.058</v>
      </c>
      <c r="F34" s="13" t="n">
        <v>7.415</v>
      </c>
      <c r="G34" s="13" t="n">
        <v>29.3598</v>
      </c>
      <c r="H34" s="13" t="n">
        <v>53.3766</v>
      </c>
      <c r="I34" s="13" t="n">
        <v>100.3998</v>
      </c>
      <c r="J34" s="13" t="n">
        <v>46.2939</v>
      </c>
      <c r="K34" s="13" t="n">
        <v>40.2674</v>
      </c>
    </row>
    <row r="35" ht="18" customHeight="1" s="19">
      <c r="A35" s="6" t="inlineStr">
        <is>
          <t>i33</t>
        </is>
      </c>
      <c r="B35" s="8" t="n">
        <v>70.80800000000001</v>
      </c>
      <c r="C35" s="8" t="n">
        <v>99.95180000000001</v>
      </c>
      <c r="D35" s="8" t="n">
        <v>68.2316</v>
      </c>
      <c r="E35" s="8" t="n">
        <v>23.4605</v>
      </c>
      <c r="F35" s="8" t="n">
        <v>3.7827</v>
      </c>
      <c r="G35" s="8" t="n">
        <v>40.17</v>
      </c>
      <c r="H35" s="8" t="n">
        <v>63.904</v>
      </c>
      <c r="I35" s="8" t="n">
        <v>110.0948</v>
      </c>
      <c r="J35" s="8" t="n">
        <v>45.5264</v>
      </c>
      <c r="K35" s="8" t="n">
        <v>47.7017</v>
      </c>
    </row>
    <row r="36" ht="18" customHeight="1" s="19">
      <c r="A36" s="9" t="inlineStr">
        <is>
          <t>i34</t>
        </is>
      </c>
      <c r="B36" s="13" t="n">
        <v>44.4881</v>
      </c>
      <c r="C36" s="13" t="n">
        <v>80.6978</v>
      </c>
      <c r="D36" s="13" t="n">
        <v>53.2007</v>
      </c>
      <c r="E36" s="13" t="n">
        <v>29.3394</v>
      </c>
      <c r="F36" s="13" t="n">
        <v>25.0754</v>
      </c>
      <c r="G36" s="13" t="n">
        <v>12.5068</v>
      </c>
      <c r="H36" s="13" t="n">
        <v>37.9261</v>
      </c>
      <c r="I36" s="13" t="n">
        <v>87.95489999999999</v>
      </c>
      <c r="J36" s="13" t="n">
        <v>49.5924</v>
      </c>
      <c r="K36" s="13" t="n">
        <v>29.1186</v>
      </c>
    </row>
    <row r="37" ht="18" customHeight="1" s="19">
      <c r="A37" s="6" t="inlineStr">
        <is>
          <t>i35</t>
        </is>
      </c>
      <c r="B37" s="8" t="n">
        <v>40.1151</v>
      </c>
      <c r="C37" s="8" t="n">
        <v>43.4541</v>
      </c>
      <c r="D37" s="8" t="n">
        <v>10.7852</v>
      </c>
      <c r="E37" s="8" t="n">
        <v>37.081</v>
      </c>
      <c r="F37" s="8" t="n">
        <v>56.3997</v>
      </c>
      <c r="G37" s="8" t="n">
        <v>53.399</v>
      </c>
      <c r="H37" s="8" t="n">
        <v>72.4696</v>
      </c>
      <c r="I37" s="8" t="n">
        <v>127.3843</v>
      </c>
      <c r="J37" s="8" t="n">
        <v>28.2378</v>
      </c>
      <c r="K37" s="8" t="n">
        <v>20.4326</v>
      </c>
    </row>
    <row r="38" ht="18" customHeight="1" s="19">
      <c r="A38" s="9" t="inlineStr">
        <is>
          <t>i36</t>
        </is>
      </c>
      <c r="B38" s="13" t="n">
        <v>42.9764</v>
      </c>
      <c r="C38" s="13" t="n">
        <v>29.8022</v>
      </c>
      <c r="D38" s="13" t="n">
        <v>9.3904</v>
      </c>
      <c r="E38" s="13" t="n">
        <v>52.9266</v>
      </c>
      <c r="F38" s="13" t="n">
        <v>72.2936</v>
      </c>
      <c r="G38" s="13" t="n">
        <v>65.8873</v>
      </c>
      <c r="H38" s="13" t="n">
        <v>81.8135</v>
      </c>
      <c r="I38" s="13" t="n">
        <v>137.4708</v>
      </c>
      <c r="J38" s="13" t="n">
        <v>40.9533</v>
      </c>
      <c r="K38" s="13" t="n">
        <v>33.1589</v>
      </c>
    </row>
    <row r="39" ht="18" customHeight="1" s="19">
      <c r="A39" s="6" t="inlineStr">
        <is>
          <t>i37</t>
        </is>
      </c>
      <c r="B39" s="8" t="n">
        <v>51.9259</v>
      </c>
      <c r="C39" s="8" t="n">
        <v>45.614</v>
      </c>
      <c r="D39" s="8" t="n">
        <v>18.1869</v>
      </c>
      <c r="E39" s="8" t="n">
        <v>42.4105</v>
      </c>
      <c r="F39" s="8" t="n">
        <v>63.3191</v>
      </c>
      <c r="G39" s="8" t="n">
        <v>65.2286</v>
      </c>
      <c r="H39" s="8" t="n">
        <v>85.03579999999999</v>
      </c>
      <c r="I39" s="8" t="n">
        <v>139.8076</v>
      </c>
      <c r="J39" s="8" t="n">
        <v>26.1554</v>
      </c>
      <c r="K39" s="8" t="n">
        <v>32.7198</v>
      </c>
    </row>
    <row r="40" ht="18" customHeight="1" s="19">
      <c r="A40" s="9" t="inlineStr">
        <is>
          <t>i38</t>
        </is>
      </c>
      <c r="B40" s="13" t="n">
        <v>96.7885</v>
      </c>
      <c r="C40" s="13" t="n">
        <v>141.2651</v>
      </c>
      <c r="D40" s="13" t="n">
        <v>125.034</v>
      </c>
      <c r="E40" s="13" t="n">
        <v>114.1804</v>
      </c>
      <c r="F40" s="13" t="n">
        <v>104.3922</v>
      </c>
      <c r="G40" s="13" t="n">
        <v>73.5038</v>
      </c>
      <c r="H40" s="13" t="n">
        <v>53.0645</v>
      </c>
      <c r="I40" s="13" t="n">
        <v>8.0198</v>
      </c>
      <c r="J40" s="13" t="n">
        <v>133.6182</v>
      </c>
      <c r="K40" s="13" t="n">
        <v>103.989</v>
      </c>
    </row>
    <row r="41" ht="18" customHeight="1" s="19">
      <c r="A41" s="6" t="inlineStr">
        <is>
          <t>i39</t>
        </is>
      </c>
      <c r="B41" s="8" t="n">
        <v>120.229</v>
      </c>
      <c r="C41" s="8" t="n">
        <v>161.7815</v>
      </c>
      <c r="D41" s="8" t="n">
        <v>148.8447</v>
      </c>
      <c r="E41" s="8" t="n">
        <v>137.9911</v>
      </c>
      <c r="F41" s="8" t="n">
        <v>128.2029</v>
      </c>
      <c r="G41" s="8" t="n">
        <v>97.3145</v>
      </c>
      <c r="H41" s="8" t="n">
        <v>76.87520000000001</v>
      </c>
      <c r="I41" s="8" t="n">
        <v>21.0709</v>
      </c>
      <c r="J41" s="8" t="n">
        <v>157.4289</v>
      </c>
      <c r="K41" s="8" t="n">
        <v>127.7997</v>
      </c>
    </row>
    <row r="42" ht="18" customHeight="1" s="19">
      <c r="A42" s="9" t="inlineStr">
        <is>
          <t>i40</t>
        </is>
      </c>
      <c r="B42" s="13" t="n">
        <v>58.319</v>
      </c>
      <c r="C42" s="13" t="n">
        <v>99.8715</v>
      </c>
      <c r="D42" s="13" t="n">
        <v>92.8267</v>
      </c>
      <c r="E42" s="13" t="n">
        <v>103.7719</v>
      </c>
      <c r="F42" s="13" t="n">
        <v>104.6216</v>
      </c>
      <c r="G42" s="13" t="n">
        <v>68.4397</v>
      </c>
      <c r="H42" s="13" t="n">
        <v>54.2687</v>
      </c>
      <c r="I42" s="13" t="n">
        <v>60.5657</v>
      </c>
      <c r="J42" s="13" t="n">
        <v>115.7379</v>
      </c>
      <c r="K42" s="13" t="n">
        <v>79.79340000000001</v>
      </c>
    </row>
  </sheetData>
  <autoFilter ref="A2:K42"/>
  <mergeCells count="1">
    <mergeCell ref="A1:K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4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4"/>
  <cols>
    <col width="14" customWidth="1" style="19" min="1" max="1"/>
    <col width="12" customWidth="1" style="19" min="2" max="4"/>
  </cols>
  <sheetData>
    <row r="1" ht="18" customHeight="1" s="19">
      <c r="A1" s="21" t="inlineStr">
        <is>
          <t>City to landfill, generalised km</t>
        </is>
      </c>
    </row>
    <row r="2" ht="31.95" customHeight="1" s="19">
      <c r="A2" s="1" t="inlineStr">
        <is>
          <t>From \ to</t>
        </is>
      </c>
      <c r="B2" s="1" t="inlineStr">
        <is>
          <t>l1</t>
        </is>
      </c>
      <c r="C2" s="1" t="inlineStr">
        <is>
          <t>l2</t>
        </is>
      </c>
      <c r="D2" s="1" t="inlineStr">
        <is>
          <t>l3</t>
        </is>
      </c>
    </row>
    <row r="3" ht="18" customHeight="1" s="19">
      <c r="A3" s="6" t="inlineStr">
        <is>
          <t>i1</t>
        </is>
      </c>
      <c r="B3" s="8" t="n">
        <v>67.8115</v>
      </c>
      <c r="C3" s="8" t="n">
        <v>57.432</v>
      </c>
      <c r="D3" s="8" t="n">
        <v>83.3775</v>
      </c>
    </row>
    <row r="4" ht="18" customHeight="1" s="19">
      <c r="A4" s="9" t="inlineStr">
        <is>
          <t>i2</t>
        </is>
      </c>
      <c r="B4" s="13" t="n">
        <v>61.8355</v>
      </c>
      <c r="C4" s="13" t="n">
        <v>62.508</v>
      </c>
      <c r="D4" s="13" t="n">
        <v>88.7042</v>
      </c>
    </row>
    <row r="5" ht="18" customHeight="1" s="19">
      <c r="A5" s="6" t="inlineStr">
        <is>
          <t>i3</t>
        </is>
      </c>
      <c r="B5" s="8" t="n">
        <v>57.0143</v>
      </c>
      <c r="C5" s="8" t="n">
        <v>67.22410000000001</v>
      </c>
      <c r="D5" s="8" t="n">
        <v>93.3031</v>
      </c>
    </row>
    <row r="6" ht="18" customHeight="1" s="19">
      <c r="A6" s="9" t="inlineStr">
        <is>
          <t>i4</t>
        </is>
      </c>
      <c r="B6" s="13" t="n">
        <v>64.0385</v>
      </c>
      <c r="C6" s="13" t="n">
        <v>68.2205</v>
      </c>
      <c r="D6" s="13" t="n">
        <v>86.49720000000001</v>
      </c>
    </row>
    <row r="7" ht="18" customHeight="1" s="19">
      <c r="A7" s="6" t="inlineStr">
        <is>
          <t>i5</t>
        </is>
      </c>
      <c r="B7" s="8" t="n">
        <v>49.2809</v>
      </c>
      <c r="C7" s="8" t="n">
        <v>78.4661</v>
      </c>
      <c r="D7" s="8" t="n">
        <v>102.189</v>
      </c>
    </row>
    <row r="8" ht="18" customHeight="1" s="19">
      <c r="A8" s="9" t="inlineStr">
        <is>
          <t>i6</t>
        </is>
      </c>
      <c r="B8" s="13" t="n">
        <v>27.3936</v>
      </c>
      <c r="C8" s="13" t="n">
        <v>87.416</v>
      </c>
      <c r="D8" s="13" t="n">
        <v>123.2469</v>
      </c>
    </row>
    <row r="9" ht="18" customHeight="1" s="19">
      <c r="A9" s="6" t="inlineStr">
        <is>
          <t>i7</t>
        </is>
      </c>
      <c r="B9" s="8" t="n">
        <v>66.9825</v>
      </c>
      <c r="C9" s="8" t="n">
        <v>54.7813</v>
      </c>
      <c r="D9" s="8" t="n">
        <v>85.2255</v>
      </c>
    </row>
    <row r="10" ht="18" customHeight="1" s="19">
      <c r="A10" s="9" t="inlineStr">
        <is>
          <t>i8</t>
        </is>
      </c>
      <c r="B10" s="13" t="n">
        <v>67.54900000000001</v>
      </c>
      <c r="C10" s="13" t="n">
        <v>52.742</v>
      </c>
      <c r="D10" s="13" t="n">
        <v>85.5284</v>
      </c>
    </row>
    <row r="11" ht="18" customHeight="1" s="19">
      <c r="A11" s="6" t="inlineStr">
        <is>
          <t>i9</t>
        </is>
      </c>
      <c r="B11" s="8" t="n">
        <v>68.63849999999999</v>
      </c>
      <c r="C11" s="8" t="n">
        <v>47.3978</v>
      </c>
      <c r="D11" s="8" t="n">
        <v>87.6679</v>
      </c>
    </row>
    <row r="12" ht="18" customHeight="1" s="19">
      <c r="A12" s="9" t="inlineStr">
        <is>
          <t>i10</t>
        </is>
      </c>
      <c r="B12" s="13" t="n">
        <v>72.5754</v>
      </c>
      <c r="C12" s="13" t="n">
        <v>46.8627</v>
      </c>
      <c r="D12" s="13" t="n">
        <v>83.2077</v>
      </c>
    </row>
    <row r="13" ht="18" customHeight="1" s="19">
      <c r="A13" s="6" t="inlineStr">
        <is>
          <t>i11</t>
        </is>
      </c>
      <c r="B13" s="8" t="n">
        <v>71.541</v>
      </c>
      <c r="C13" s="8" t="n">
        <v>50.0962</v>
      </c>
      <c r="D13" s="8" t="n">
        <v>82.3413</v>
      </c>
    </row>
    <row r="14" ht="18" customHeight="1" s="19">
      <c r="A14" s="9" t="inlineStr">
        <is>
          <t>i12</t>
        </is>
      </c>
      <c r="B14" s="13" t="n">
        <v>78.9084</v>
      </c>
      <c r="C14" s="13" t="n">
        <v>46.052</v>
      </c>
      <c r="D14" s="13" t="n">
        <v>76.74160000000001</v>
      </c>
    </row>
    <row r="15" ht="18" customHeight="1" s="19">
      <c r="A15" s="6" t="inlineStr">
        <is>
          <t>i13</t>
        </is>
      </c>
      <c r="B15" s="8" t="n">
        <v>77.39100000000001</v>
      </c>
      <c r="C15" s="8" t="n">
        <v>43.5513</v>
      </c>
      <c r="D15" s="8" t="n">
        <v>80.1566</v>
      </c>
    </row>
    <row r="16" ht="18" customHeight="1" s="19">
      <c r="A16" s="9" t="inlineStr">
        <is>
          <t>i14</t>
        </is>
      </c>
      <c r="B16" s="13" t="n">
        <v>74.6932</v>
      </c>
      <c r="C16" s="13" t="n">
        <v>51.2047</v>
      </c>
      <c r="D16" s="13" t="n">
        <v>78.26900000000001</v>
      </c>
    </row>
    <row r="17" ht="18" customHeight="1" s="19">
      <c r="A17" s="6" t="inlineStr">
        <is>
          <t>i15</t>
        </is>
      </c>
      <c r="B17" s="8" t="n">
        <v>71.8733</v>
      </c>
      <c r="C17" s="8" t="n">
        <v>56.5226</v>
      </c>
      <c r="D17" s="8" t="n">
        <v>79.2821</v>
      </c>
    </row>
    <row r="18" ht="18" customHeight="1" s="19">
      <c r="A18" s="9" t="inlineStr">
        <is>
          <t>i16</t>
        </is>
      </c>
      <c r="B18" s="13" t="n">
        <v>69.7174</v>
      </c>
      <c r="C18" s="13" t="n">
        <v>61.1215</v>
      </c>
      <c r="D18" s="13" t="n">
        <v>80.69450000000001</v>
      </c>
    </row>
    <row r="19" ht="18" customHeight="1" s="19">
      <c r="A19" s="6" t="inlineStr">
        <is>
          <t>i17</t>
        </is>
      </c>
      <c r="B19" s="8" t="n">
        <v>68.0322</v>
      </c>
      <c r="C19" s="8" t="n">
        <v>39.8223</v>
      </c>
      <c r="D19" s="8" t="n">
        <v>97.7081</v>
      </c>
    </row>
    <row r="20" ht="18" customHeight="1" s="19">
      <c r="A20" s="9" t="inlineStr">
        <is>
          <t>i18</t>
        </is>
      </c>
      <c r="B20" s="13" t="n">
        <v>75.015</v>
      </c>
      <c r="C20" s="13" t="n">
        <v>35.464</v>
      </c>
      <c r="D20" s="13" t="n">
        <v>91.47929999999999</v>
      </c>
    </row>
    <row r="21" ht="18" customHeight="1" s="19">
      <c r="A21" s="6" t="inlineStr">
        <is>
          <t>i19</t>
        </is>
      </c>
      <c r="B21" s="8" t="n">
        <v>67.08320000000001</v>
      </c>
      <c r="C21" s="8" t="n">
        <v>43.352</v>
      </c>
      <c r="D21" s="8" t="n">
        <v>94.00369999999999</v>
      </c>
    </row>
    <row r="22" ht="18" customHeight="1" s="19">
      <c r="A22" s="9" t="inlineStr">
        <is>
          <t>i20</t>
        </is>
      </c>
      <c r="B22" s="13" t="n">
        <v>55.1459</v>
      </c>
      <c r="C22" s="13" t="n">
        <v>50.3744</v>
      </c>
      <c r="D22" s="13" t="n">
        <v>110.3639</v>
      </c>
    </row>
    <row r="23" ht="18" customHeight="1" s="19">
      <c r="A23" s="6" t="inlineStr">
        <is>
          <t>i21</t>
        </is>
      </c>
      <c r="B23" s="8" t="n">
        <v>88.3436</v>
      </c>
      <c r="C23" s="8" t="n">
        <v>66.20489999999999</v>
      </c>
      <c r="D23" s="8" t="n">
        <v>62.6757</v>
      </c>
    </row>
    <row r="24" ht="18" customHeight="1" s="19">
      <c r="A24" s="9" t="inlineStr">
        <is>
          <t>i22</t>
        </is>
      </c>
      <c r="B24" s="13" t="n">
        <v>82.3865</v>
      </c>
      <c r="C24" s="13" t="n">
        <v>51.5327</v>
      </c>
      <c r="D24" s="13" t="n">
        <v>70.1957</v>
      </c>
    </row>
    <row r="25" ht="18" customHeight="1" s="19">
      <c r="A25" s="6" t="inlineStr">
        <is>
          <t>i23</t>
        </is>
      </c>
      <c r="B25" s="8" t="n">
        <v>99.2804</v>
      </c>
      <c r="C25" s="8" t="n">
        <v>55.8303</v>
      </c>
      <c r="D25" s="8" t="n">
        <v>53.3648</v>
      </c>
    </row>
    <row r="26" ht="18" customHeight="1" s="19">
      <c r="A26" s="9" t="inlineStr">
        <is>
          <t>i24</t>
        </is>
      </c>
      <c r="B26" s="13" t="n">
        <v>103.7566</v>
      </c>
      <c r="C26" s="13" t="n">
        <v>42.3501</v>
      </c>
      <c r="D26" s="13" t="n">
        <v>64.0197</v>
      </c>
    </row>
    <row r="27" ht="18" customHeight="1" s="19">
      <c r="A27" s="6" t="inlineStr">
        <is>
          <t>i25</t>
        </is>
      </c>
      <c r="B27" s="8" t="n">
        <v>105.2045</v>
      </c>
      <c r="C27" s="8" t="n">
        <v>26.7545</v>
      </c>
      <c r="D27" s="8" t="n">
        <v>79.908</v>
      </c>
    </row>
    <row r="28" ht="18" customHeight="1" s="19">
      <c r="A28" s="9" t="inlineStr">
        <is>
          <t>i26</t>
        </is>
      </c>
      <c r="B28" s="13" t="n">
        <v>90.52370000000001</v>
      </c>
      <c r="C28" s="13" t="n">
        <v>38.9919</v>
      </c>
      <c r="D28" s="13" t="n">
        <v>71.8959</v>
      </c>
    </row>
    <row r="29" ht="18" customHeight="1" s="19">
      <c r="A29" s="6" t="inlineStr">
        <is>
          <t>i27</t>
        </is>
      </c>
      <c r="B29" s="8" t="n">
        <v>85.4667</v>
      </c>
      <c r="C29" s="8" t="n">
        <v>35.7562</v>
      </c>
      <c r="D29" s="8" t="n">
        <v>131.1478</v>
      </c>
    </row>
    <row r="30" ht="18" customHeight="1" s="19">
      <c r="A30" s="9" t="inlineStr">
        <is>
          <t>i28</t>
        </is>
      </c>
      <c r="B30" s="13" t="n">
        <v>68.12009999999999</v>
      </c>
      <c r="C30" s="13" t="n">
        <v>67.755</v>
      </c>
      <c r="D30" s="13" t="n">
        <v>153.287</v>
      </c>
    </row>
    <row r="31" ht="18" customHeight="1" s="19">
      <c r="A31" s="6" t="inlineStr">
        <is>
          <t>i29</t>
        </is>
      </c>
      <c r="B31" s="8" t="n">
        <v>81.2319</v>
      </c>
      <c r="C31" s="8" t="n">
        <v>25.1194</v>
      </c>
      <c r="D31" s="8" t="n">
        <v>110.9957</v>
      </c>
    </row>
    <row r="32" ht="18" customHeight="1" s="19">
      <c r="A32" s="9" t="inlineStr">
        <is>
          <t>i30</t>
        </is>
      </c>
      <c r="B32" s="13" t="n">
        <v>87.35429999999999</v>
      </c>
      <c r="C32" s="13" t="n">
        <v>18.0467</v>
      </c>
      <c r="D32" s="13" t="n">
        <v>103.2086</v>
      </c>
    </row>
    <row r="33" ht="18" customHeight="1" s="19">
      <c r="A33" s="6" t="inlineStr">
        <is>
          <t>i31</t>
        </is>
      </c>
      <c r="B33" s="8" t="n">
        <v>75.5586</v>
      </c>
      <c r="C33" s="8" t="n">
        <v>32.1947</v>
      </c>
      <c r="D33" s="8" t="n">
        <v>95.9654</v>
      </c>
    </row>
    <row r="34" ht="18" customHeight="1" s="19">
      <c r="A34" s="9" t="inlineStr">
        <is>
          <t>i32</t>
        </is>
      </c>
      <c r="B34" s="13" t="n">
        <v>99.0348</v>
      </c>
      <c r="C34" s="13" t="n">
        <v>8.4283</v>
      </c>
      <c r="D34" s="13" t="n">
        <v>99.7487</v>
      </c>
    </row>
    <row r="35" ht="18" customHeight="1" s="19">
      <c r="A35" s="6" t="inlineStr">
        <is>
          <t>i33</t>
        </is>
      </c>
      <c r="B35" s="8" t="n">
        <v>105.5836</v>
      </c>
      <c r="C35" s="8" t="n">
        <v>3.1301</v>
      </c>
      <c r="D35" s="8" t="n">
        <v>109.4437</v>
      </c>
    </row>
    <row r="36" ht="18" customHeight="1" s="19">
      <c r="A36" s="9" t="inlineStr">
        <is>
          <t>i34</t>
        </is>
      </c>
      <c r="B36" s="13" t="n">
        <v>86.99039999999999</v>
      </c>
      <c r="C36" s="13" t="n">
        <v>26.4633</v>
      </c>
      <c r="D36" s="13" t="n">
        <v>87.3038</v>
      </c>
    </row>
    <row r="37" ht="18" customHeight="1" s="19">
      <c r="A37" s="6" t="inlineStr">
        <is>
          <t>i35</t>
        </is>
      </c>
      <c r="B37" s="8" t="n">
        <v>48.096</v>
      </c>
      <c r="C37" s="8" t="n">
        <v>59.6267</v>
      </c>
      <c r="D37" s="8" t="n">
        <v>126.7332</v>
      </c>
    </row>
    <row r="38" ht="18" customHeight="1" s="19">
      <c r="A38" s="9" t="inlineStr">
        <is>
          <t>i36</t>
        </is>
      </c>
      <c r="B38" s="13" t="n">
        <v>33.4555</v>
      </c>
      <c r="C38" s="13" t="n">
        <v>75.50920000000001</v>
      </c>
      <c r="D38" s="13" t="n">
        <v>136.8197</v>
      </c>
    </row>
    <row r="39" ht="18" customHeight="1" s="19">
      <c r="A39" s="6" t="inlineStr">
        <is>
          <t>i37</t>
        </is>
      </c>
      <c r="B39" s="8" t="n">
        <v>48.812</v>
      </c>
      <c r="C39" s="8" t="n">
        <v>66.602</v>
      </c>
      <c r="D39" s="8" t="n">
        <v>139.1565</v>
      </c>
    </row>
    <row r="40" ht="18" customHeight="1" s="19">
      <c r="A40" s="9" t="inlineStr">
        <is>
          <t>i38</t>
        </is>
      </c>
      <c r="B40" s="13" t="n">
        <v>147.8636</v>
      </c>
      <c r="C40" s="13" t="n">
        <v>103.9165</v>
      </c>
      <c r="D40" s="13" t="n">
        <v>2.4717</v>
      </c>
    </row>
    <row r="41" ht="18" customHeight="1" s="19">
      <c r="A41" s="6" t="inlineStr">
        <is>
          <t>i39</t>
        </is>
      </c>
      <c r="B41" s="8" t="n">
        <v>168.1047</v>
      </c>
      <c r="C41" s="8" t="n">
        <v>127.7272</v>
      </c>
      <c r="D41" s="8" t="n">
        <v>27.3862</v>
      </c>
    </row>
    <row r="42" ht="18" customHeight="1" s="19">
      <c r="A42" s="9" t="inlineStr">
        <is>
          <t>i40</t>
        </is>
      </c>
      <c r="B42" s="13" t="n">
        <v>106.1947</v>
      </c>
      <c r="C42" s="13" t="n">
        <v>105.8047</v>
      </c>
      <c r="D42" s="13" t="n">
        <v>68.9354</v>
      </c>
    </row>
  </sheetData>
  <autoFilter ref="A2:D42"/>
  <mergeCells count="1">
    <mergeCell ref="A1:D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1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4"/>
  <cols>
    <col width="14" customWidth="1" style="19" min="1" max="1"/>
    <col width="12" customWidth="1" style="19" min="2" max="4"/>
  </cols>
  <sheetData>
    <row r="1" ht="18" customHeight="1" s="19">
      <c r="A1" s="21" t="inlineStr">
        <is>
          <t>WTE plant to landfill, generalised km</t>
        </is>
      </c>
    </row>
    <row r="2" ht="31.95" customHeight="1" s="19">
      <c r="A2" s="1" t="inlineStr">
        <is>
          <t>From \ to</t>
        </is>
      </c>
      <c r="B2" s="1" t="inlineStr">
        <is>
          <t>l1</t>
        </is>
      </c>
      <c r="C2" s="1" t="inlineStr">
        <is>
          <t>l2</t>
        </is>
      </c>
      <c r="D2" s="1" t="inlineStr">
        <is>
          <t>l3</t>
        </is>
      </c>
    </row>
    <row r="3" ht="18" customHeight="1" s="19">
      <c r="A3" s="6" t="inlineStr">
        <is>
          <t>b1</t>
        </is>
      </c>
      <c r="B3" s="8" t="n">
        <v>51.1016</v>
      </c>
      <c r="C3" s="8" t="n">
        <v>69.2931</v>
      </c>
      <c r="D3" s="8" t="n">
        <v>99.239</v>
      </c>
    </row>
    <row r="4" ht="18" customHeight="1" s="19">
      <c r="A4" s="9" t="inlineStr">
        <is>
          <t>b2</t>
        </is>
      </c>
      <c r="B4" s="13" t="n">
        <v>6.6397</v>
      </c>
      <c r="C4" s="13" t="n">
        <v>99.6183</v>
      </c>
      <c r="D4" s="13" t="n">
        <v>143.7155</v>
      </c>
    </row>
    <row r="5" ht="18" customHeight="1" s="19">
      <c r="A5" s="6" t="inlineStr">
        <is>
          <t>b3</t>
        </is>
      </c>
      <c r="B5" s="8" t="n">
        <v>37.8275</v>
      </c>
      <c r="C5" s="8" t="n">
        <v>68.24809999999999</v>
      </c>
      <c r="D5" s="8" t="n">
        <v>127.4844</v>
      </c>
    </row>
    <row r="6" ht="18" customHeight="1" s="19">
      <c r="A6" s="9" t="inlineStr">
        <is>
          <t>b4</t>
        </is>
      </c>
      <c r="B6" s="13" t="n">
        <v>84.71720000000001</v>
      </c>
      <c r="C6" s="13" t="n">
        <v>24.6617</v>
      </c>
      <c r="D6" s="13" t="n">
        <v>116.6308</v>
      </c>
    </row>
    <row r="7" ht="18" customHeight="1" s="19">
      <c r="A7" s="6" t="inlineStr">
        <is>
          <t>b5</t>
        </is>
      </c>
      <c r="B7" s="8" t="n">
        <v>102.2982</v>
      </c>
      <c r="C7" s="8" t="n">
        <v>3.2832</v>
      </c>
      <c r="D7" s="8" t="n">
        <v>106.8426</v>
      </c>
    </row>
    <row r="8" ht="18" customHeight="1" s="19">
      <c r="A8" s="9" t="inlineStr">
        <is>
          <t>b6</t>
        </is>
      </c>
      <c r="B8" s="13" t="n">
        <v>86.7847</v>
      </c>
      <c r="C8" s="13" t="n">
        <v>37.5841</v>
      </c>
      <c r="D8" s="13" t="n">
        <v>75.9542</v>
      </c>
    </row>
    <row r="9" ht="18" customHeight="1" s="19">
      <c r="A9" s="6" t="inlineStr">
        <is>
          <t>b7</t>
        </is>
      </c>
      <c r="B9" s="8" t="n">
        <v>94.8276</v>
      </c>
      <c r="C9" s="8" t="n">
        <v>61.0237</v>
      </c>
      <c r="D9" s="8" t="n">
        <v>55.5149</v>
      </c>
    </row>
    <row r="10" ht="18" customHeight="1" s="19">
      <c r="A10" s="9" t="inlineStr">
        <is>
          <t>b8</t>
        </is>
      </c>
      <c r="B10" s="13" t="n">
        <v>150.9651</v>
      </c>
      <c r="C10" s="13" t="n">
        <v>107.018</v>
      </c>
      <c r="D10" s="13" t="n">
        <v>8.588800000000001</v>
      </c>
    </row>
    <row r="11" ht="18" customHeight="1" s="19">
      <c r="A11" s="6" t="inlineStr">
        <is>
          <t>b9</t>
        </is>
      </c>
      <c r="B11" s="8" t="n">
        <v>74.4019</v>
      </c>
      <c r="C11" s="8" t="n">
        <v>47.2544</v>
      </c>
      <c r="D11" s="8" t="n">
        <v>136.0686</v>
      </c>
    </row>
    <row r="12" ht="18" customHeight="1" s="19">
      <c r="A12" s="9" t="inlineStr">
        <is>
          <t>b10</t>
        </is>
      </c>
      <c r="B12" s="13" t="n">
        <v>58.8763</v>
      </c>
      <c r="C12" s="13" t="n">
        <v>47.0557</v>
      </c>
      <c r="D12" s="13" t="n">
        <v>106.4394</v>
      </c>
    </row>
  </sheetData>
  <autoFilter ref="A2:D12"/>
  <mergeCells count="1">
    <mergeCell ref="A1:D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4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G1"/>
    </sheetView>
  </sheetViews>
  <sheetFormatPr baseColWidth="8" defaultRowHeight="14.4"/>
  <cols>
    <col width="14" customWidth="1" style="19" min="1" max="1"/>
    <col width="12" customWidth="1" style="19" min="2" max="7"/>
  </cols>
  <sheetData>
    <row r="1" ht="18" customHeight="1" s="19">
      <c r="A1" s="21" t="inlineStr">
        <is>
          <t>City to recovery centre, generalised km</t>
        </is>
      </c>
    </row>
    <row r="2" ht="31.95" customHeight="1" s="19">
      <c r="A2" s="1" t="inlineStr">
        <is>
          <t>From \ to</t>
        </is>
      </c>
      <c r="B2" s="1" t="inlineStr">
        <is>
          <t>j1</t>
        </is>
      </c>
      <c r="C2" s="1" t="inlineStr">
        <is>
          <t>j2</t>
        </is>
      </c>
      <c r="D2" s="1" t="inlineStr">
        <is>
          <t>j3</t>
        </is>
      </c>
      <c r="E2" s="1" t="inlineStr">
        <is>
          <t>j4</t>
        </is>
      </c>
      <c r="F2" s="1" t="inlineStr">
        <is>
          <t>j5</t>
        </is>
      </c>
      <c r="G2" s="1" t="inlineStr">
        <is>
          <t>j6</t>
        </is>
      </c>
    </row>
    <row r="3" ht="18" customHeight="1" s="19">
      <c r="A3" s="6" t="inlineStr">
        <is>
          <t>i1</t>
        </is>
      </c>
      <c r="B3" s="8" t="n">
        <v>11.9709</v>
      </c>
      <c r="C3" s="8" t="n">
        <v>10.7889</v>
      </c>
      <c r="D3" s="8" t="n">
        <v>32.7394</v>
      </c>
      <c r="E3" s="8" t="n">
        <v>23.0933</v>
      </c>
      <c r="F3" s="8" t="n">
        <v>43.1267</v>
      </c>
      <c r="G3" s="8" t="n">
        <v>45.9306</v>
      </c>
    </row>
    <row r="4" ht="18" customHeight="1" s="19">
      <c r="A4" s="9" t="inlineStr">
        <is>
          <t>i2</t>
        </is>
      </c>
      <c r="B4" s="13" t="n">
        <v>18.3406</v>
      </c>
      <c r="C4" s="13" t="n">
        <v>4.4566</v>
      </c>
      <c r="D4" s="13" t="n">
        <v>35.1265</v>
      </c>
      <c r="E4" s="13" t="n">
        <v>29.569</v>
      </c>
      <c r="F4" s="13" t="n">
        <v>40.6158</v>
      </c>
      <c r="G4" s="13" t="n">
        <v>51.0152</v>
      </c>
    </row>
    <row r="5" ht="18" customHeight="1" s="19">
      <c r="A5" s="6" t="inlineStr">
        <is>
          <t>i3</t>
        </is>
      </c>
      <c r="B5" s="8" t="n">
        <v>23.9172</v>
      </c>
      <c r="C5" s="8" t="n">
        <v>2.2805</v>
      </c>
      <c r="D5" s="8" t="n">
        <v>38.2221</v>
      </c>
      <c r="E5" s="8" t="n">
        <v>35.0732</v>
      </c>
      <c r="F5" s="8" t="n">
        <v>39.5525</v>
      </c>
      <c r="G5" s="8" t="n">
        <v>55.7756</v>
      </c>
    </row>
    <row r="6" ht="18" customHeight="1" s="19">
      <c r="A6" s="9" t="inlineStr">
        <is>
          <t>i4</t>
        </is>
      </c>
      <c r="B6" s="13" t="n">
        <v>22.3294</v>
      </c>
      <c r="C6" s="13" t="n">
        <v>5.7498</v>
      </c>
      <c r="D6" s="13" t="n">
        <v>42.2127</v>
      </c>
      <c r="E6" s="13" t="n">
        <v>30.7074</v>
      </c>
      <c r="F6" s="13" t="n">
        <v>47.0528</v>
      </c>
      <c r="G6" s="13" t="n">
        <v>56.7183</v>
      </c>
    </row>
    <row r="7" ht="18" customHeight="1" s="19">
      <c r="A7" s="6" t="inlineStr">
        <is>
          <t>i5</t>
        </is>
      </c>
      <c r="B7" s="8" t="n">
        <v>35.7194</v>
      </c>
      <c r="C7" s="8" t="n">
        <v>13.1091</v>
      </c>
      <c r="D7" s="8" t="n">
        <v>47.7879</v>
      </c>
      <c r="E7" s="8" t="n">
        <v>46.1933</v>
      </c>
      <c r="F7" s="8" t="n">
        <v>42.2844</v>
      </c>
      <c r="G7" s="8" t="n">
        <v>67.096</v>
      </c>
    </row>
    <row r="8" ht="18" customHeight="1" s="19">
      <c r="A8" s="9" t="inlineStr">
        <is>
          <t>i6</t>
        </is>
      </c>
      <c r="B8" s="13" t="n">
        <v>51.9985</v>
      </c>
      <c r="C8" s="13" t="n">
        <v>32.2499</v>
      </c>
      <c r="D8" s="13" t="n">
        <v>53.3093</v>
      </c>
      <c r="E8" s="13" t="n">
        <v>64.7285</v>
      </c>
      <c r="F8" s="13" t="n">
        <v>34.754</v>
      </c>
      <c r="G8" s="13" t="n">
        <v>76.8707</v>
      </c>
    </row>
    <row r="9" ht="18" customHeight="1" s="19">
      <c r="A9" s="6" t="inlineStr">
        <is>
          <t>i7</t>
        </is>
      </c>
      <c r="B9" s="8" t="n">
        <v>10.8017</v>
      </c>
      <c r="C9" s="8" t="n">
        <v>12.3795</v>
      </c>
      <c r="D9" s="8" t="n">
        <v>29.2787</v>
      </c>
      <c r="E9" s="8" t="n">
        <v>23.5911</v>
      </c>
      <c r="F9" s="8" t="n">
        <v>40.325</v>
      </c>
      <c r="G9" s="8" t="n">
        <v>43.2763</v>
      </c>
    </row>
    <row r="10" ht="18" customHeight="1" s="19">
      <c r="A10" s="9" t="inlineStr">
        <is>
          <t>i8</t>
        </is>
      </c>
      <c r="B10" s="13" t="n">
        <v>9.6455</v>
      </c>
      <c r="C10" s="13" t="n">
        <v>14.2719</v>
      </c>
      <c r="D10" s="13" t="n">
        <v>27.2901</v>
      </c>
      <c r="E10" s="13" t="n">
        <v>23.1505</v>
      </c>
      <c r="F10" s="13" t="n">
        <v>39.4812</v>
      </c>
      <c r="G10" s="13" t="n">
        <v>41.2399</v>
      </c>
    </row>
    <row r="11" ht="18" customHeight="1" s="19">
      <c r="A11" s="6" t="inlineStr">
        <is>
          <t>i9</t>
        </is>
      </c>
      <c r="B11" s="8" t="n">
        <v>9.442399999999999</v>
      </c>
      <c r="C11" s="8" t="n">
        <v>19.4984</v>
      </c>
      <c r="D11" s="8" t="n">
        <v>21.5629</v>
      </c>
      <c r="E11" s="8" t="n">
        <v>23.7624</v>
      </c>
      <c r="F11" s="8" t="n">
        <v>36.8524</v>
      </c>
      <c r="G11" s="8" t="n">
        <v>35.9331</v>
      </c>
    </row>
    <row r="12" ht="18" customHeight="1" s="19">
      <c r="A12" s="9" t="inlineStr">
        <is>
          <t>i10</t>
        </is>
      </c>
      <c r="B12" s="13" t="n">
        <v>4.9377</v>
      </c>
      <c r="C12" s="13" t="n">
        <v>20.49</v>
      </c>
      <c r="D12" s="13" t="n">
        <v>24.2788</v>
      </c>
      <c r="E12" s="13" t="n">
        <v>19.2693</v>
      </c>
      <c r="F12" s="13" t="n">
        <v>41.3394</v>
      </c>
      <c r="G12" s="13" t="n">
        <v>35.3596</v>
      </c>
    </row>
    <row r="13" ht="18" customHeight="1" s="19">
      <c r="A13" s="6" t="inlineStr">
        <is>
          <t>i11</t>
        </is>
      </c>
      <c r="B13" s="8" t="n">
        <v>5.5894</v>
      </c>
      <c r="C13" s="8" t="n">
        <v>17.6264</v>
      </c>
      <c r="D13" s="8" t="n">
        <v>27.125</v>
      </c>
      <c r="E13" s="8" t="n">
        <v>19.3201</v>
      </c>
      <c r="F13" s="8" t="n">
        <v>42.2457</v>
      </c>
      <c r="G13" s="8" t="n">
        <v>38.5991</v>
      </c>
    </row>
    <row r="14" ht="18" customHeight="1" s="19">
      <c r="A14" s="9" t="inlineStr">
        <is>
          <t>i12</t>
        </is>
      </c>
      <c r="B14" s="13" t="n">
        <v>1.8971</v>
      </c>
      <c r="C14" s="13" t="n">
        <v>24.2136</v>
      </c>
      <c r="D14" s="13" t="n">
        <v>28.6536</v>
      </c>
      <c r="E14" s="13" t="n">
        <v>12.5205</v>
      </c>
      <c r="F14" s="13" t="n">
        <v>47.9721</v>
      </c>
      <c r="G14" s="13" t="n">
        <v>34.754</v>
      </c>
    </row>
    <row r="15" ht="18" customHeight="1" s="19">
      <c r="A15" s="6" t="inlineStr">
        <is>
          <t>i13</t>
        </is>
      </c>
      <c r="B15" s="8" t="n">
        <v>3.2832</v>
      </c>
      <c r="C15" s="8" t="n">
        <v>24.8527</v>
      </c>
      <c r="D15" s="8" t="n">
        <v>24.854</v>
      </c>
      <c r="E15" s="8" t="n">
        <v>15.5435</v>
      </c>
      <c r="F15" s="8" t="n">
        <v>44.9319</v>
      </c>
      <c r="G15" s="8" t="n">
        <v>32.125</v>
      </c>
    </row>
    <row r="16" ht="18" customHeight="1" s="19">
      <c r="A16" s="9" t="inlineStr">
        <is>
          <t>i14</t>
        </is>
      </c>
      <c r="B16" s="13" t="n">
        <v>4.6026</v>
      </c>
      <c r="C16" s="13" t="n">
        <v>18.6446</v>
      </c>
      <c r="D16" s="13" t="n">
        <v>30.6027</v>
      </c>
      <c r="E16" s="13" t="n">
        <v>15.8834</v>
      </c>
      <c r="F16" s="13" t="n">
        <v>46.3928</v>
      </c>
      <c r="G16" s="13" t="n">
        <v>39.7962</v>
      </c>
    </row>
    <row r="17" ht="18" customHeight="1" s="19">
      <c r="A17" s="6" t="inlineStr">
        <is>
          <t>i15</t>
        </is>
      </c>
      <c r="B17" s="8" t="n">
        <v>10.0024</v>
      </c>
      <c r="C17" s="8" t="n">
        <v>14.0511</v>
      </c>
      <c r="D17" s="8" t="n">
        <v>34.2042</v>
      </c>
      <c r="E17" s="8" t="n">
        <v>19.3002</v>
      </c>
      <c r="F17" s="8" t="n">
        <v>46.7324</v>
      </c>
      <c r="G17" s="8" t="n">
        <v>45.0838</v>
      </c>
    </row>
    <row r="18" ht="18" customHeight="1" s="19">
      <c r="A18" s="9" t="inlineStr">
        <is>
          <t>i16</t>
        </is>
      </c>
      <c r="B18" s="13" t="n">
        <v>14.6594</v>
      </c>
      <c r="C18" s="13" t="n">
        <v>10.7456</v>
      </c>
      <c r="D18" s="13" t="n">
        <v>37.6748</v>
      </c>
      <c r="E18" s="13" t="n">
        <v>22.8497</v>
      </c>
      <c r="F18" s="13" t="n">
        <v>47.5494</v>
      </c>
      <c r="G18" s="13" t="n">
        <v>49.6653</v>
      </c>
    </row>
    <row r="19" ht="18" customHeight="1" s="19">
      <c r="A19" s="6" t="inlineStr">
        <is>
          <t>i17</t>
        </is>
      </c>
      <c r="B19" s="8" t="n">
        <v>20.1592</v>
      </c>
      <c r="C19" s="8" t="n">
        <v>30.1733</v>
      </c>
      <c r="D19" s="8" t="n">
        <v>8.7356</v>
      </c>
      <c r="E19" s="8" t="n">
        <v>32.8771</v>
      </c>
      <c r="F19" s="8" t="n">
        <v>29.4333</v>
      </c>
      <c r="G19" s="8" t="n">
        <v>29.1136</v>
      </c>
    </row>
    <row r="20" ht="18" customHeight="1" s="19">
      <c r="A20" s="9" t="inlineStr">
        <is>
          <t>i18</t>
        </is>
      </c>
      <c r="B20" s="13" t="n">
        <v>15.8503</v>
      </c>
      <c r="C20" s="13" t="n">
        <v>31.7363</v>
      </c>
      <c r="D20" s="13" t="n">
        <v>12.3587</v>
      </c>
      <c r="E20" s="13" t="n">
        <v>26.6578</v>
      </c>
      <c r="F20" s="13" t="n">
        <v>37.0455</v>
      </c>
      <c r="G20" s="13" t="n">
        <v>24.1507</v>
      </c>
    </row>
    <row r="21" ht="18" customHeight="1" s="19">
      <c r="A21" s="6" t="inlineStr">
        <is>
          <t>i19</t>
        </is>
      </c>
      <c r="B21" s="8" t="n">
        <v>15.8121</v>
      </c>
      <c r="C21" s="8" t="n">
        <v>25.0754</v>
      </c>
      <c r="D21" s="8" t="n">
        <v>14.1184</v>
      </c>
      <c r="E21" s="8" t="n">
        <v>29.408</v>
      </c>
      <c r="F21" s="8" t="n">
        <v>31.3013</v>
      </c>
      <c r="G21" s="8" t="n">
        <v>32.2187</v>
      </c>
    </row>
    <row r="22" ht="18" customHeight="1" s="19">
      <c r="A22" s="9" t="inlineStr">
        <is>
          <t>i20</t>
        </is>
      </c>
      <c r="B22" s="13" t="n">
        <v>32.0095</v>
      </c>
      <c r="C22" s="13" t="n">
        <v>32.3467</v>
      </c>
      <c r="D22" s="13" t="n">
        <v>15.9293</v>
      </c>
      <c r="E22" s="13" t="n">
        <v>45.933</v>
      </c>
      <c r="F22" s="13" t="n">
        <v>14.9178</v>
      </c>
      <c r="G22" s="13" t="n">
        <v>40.9489</v>
      </c>
    </row>
    <row r="23" ht="18" customHeight="1" s="19">
      <c r="A23" s="6" t="inlineStr">
        <is>
          <t>i21</t>
        </is>
      </c>
      <c r="B23" s="8" t="n">
        <v>24.3325</v>
      </c>
      <c r="C23" s="8" t="n">
        <v>29.3857</v>
      </c>
      <c r="D23" s="8" t="n">
        <v>52.0225</v>
      </c>
      <c r="E23" s="8" t="n">
        <v>18.5021</v>
      </c>
      <c r="F23" s="8" t="n">
        <v>66.8925</v>
      </c>
      <c r="G23" s="8" t="n">
        <v>55.7206</v>
      </c>
    </row>
    <row r="24" ht="18" customHeight="1" s="19">
      <c r="A24" s="9" t="inlineStr">
        <is>
          <t>i22</t>
        </is>
      </c>
      <c r="B24" s="13" t="n">
        <v>8.713200000000001</v>
      </c>
      <c r="C24" s="13" t="n">
        <v>24.7036</v>
      </c>
      <c r="D24" s="13" t="n">
        <v>36.2536</v>
      </c>
      <c r="E24" s="13" t="n">
        <v>8.588800000000001</v>
      </c>
      <c r="F24" s="13" t="n">
        <v>54.3405</v>
      </c>
      <c r="G24" s="13" t="n">
        <v>40.5731</v>
      </c>
    </row>
    <row r="25" ht="18" customHeight="1" s="19">
      <c r="A25" s="6" t="inlineStr">
        <is>
          <t>i23</t>
        </is>
      </c>
      <c r="B25" s="8" t="n">
        <v>25.2086</v>
      </c>
      <c r="C25" s="8" t="n">
        <v>40.4626</v>
      </c>
      <c r="D25" s="8" t="n">
        <v>50.4481</v>
      </c>
      <c r="E25" s="8" t="n">
        <v>11.4997</v>
      </c>
      <c r="F25" s="8" t="n">
        <v>71.4532</v>
      </c>
      <c r="G25" s="8" t="n">
        <v>46.7137</v>
      </c>
    </row>
    <row r="26" ht="18" customHeight="1" s="19">
      <c r="A26" s="9" t="inlineStr">
        <is>
          <t>i24</t>
        </is>
      </c>
      <c r="B26" s="13" t="n">
        <v>26.7429</v>
      </c>
      <c r="C26" s="13" t="n">
        <v>47.6237</v>
      </c>
      <c r="D26" s="13" t="n">
        <v>44.9472</v>
      </c>
      <c r="E26" s="13" t="n">
        <v>14.5171</v>
      </c>
      <c r="F26" s="13" t="n">
        <v>70.32729999999999</v>
      </c>
      <c r="G26" s="13" t="n">
        <v>34.6311</v>
      </c>
    </row>
    <row r="27" ht="18" customHeight="1" s="19">
      <c r="A27" s="6" t="inlineStr">
        <is>
          <t>i25</t>
        </is>
      </c>
      <c r="B27" s="8" t="n">
        <v>31.6175</v>
      </c>
      <c r="C27" s="8" t="n">
        <v>54.3125</v>
      </c>
      <c r="D27" s="8" t="n">
        <v>38.587</v>
      </c>
      <c r="E27" s="8" t="n">
        <v>25.59</v>
      </c>
      <c r="F27" s="8" t="n">
        <v>66.9431</v>
      </c>
      <c r="G27" s="8" t="n">
        <v>20.8799</v>
      </c>
    </row>
    <row r="28" ht="18" customHeight="1" s="19">
      <c r="A28" s="9" t="inlineStr">
        <is>
          <t>i26</t>
        </is>
      </c>
      <c r="B28" s="13" t="n">
        <v>13.9676</v>
      </c>
      <c r="C28" s="13" t="n">
        <v>36.3004</v>
      </c>
      <c r="D28" s="13" t="n">
        <v>32.4375</v>
      </c>
      <c r="E28" s="13" t="n">
        <v>8.952999999999999</v>
      </c>
      <c r="F28" s="13" t="n">
        <v>56.7191</v>
      </c>
      <c r="G28" s="13" t="n">
        <v>28.7535</v>
      </c>
    </row>
    <row r="29" ht="18" customHeight="1" s="19">
      <c r="A29" s="6" t="inlineStr">
        <is>
          <t>i27</t>
        </is>
      </c>
      <c r="B29" s="8" t="n">
        <v>58.4289</v>
      </c>
      <c r="C29" s="8" t="n">
        <v>69.4208</v>
      </c>
      <c r="D29" s="8" t="n">
        <v>31.4561</v>
      </c>
      <c r="E29" s="8" t="n">
        <v>67.4803</v>
      </c>
      <c r="F29" s="8" t="n">
        <v>42.4811</v>
      </c>
      <c r="G29" s="8" t="n">
        <v>36.0217</v>
      </c>
    </row>
    <row r="30" ht="18" customHeight="1" s="19">
      <c r="A30" s="9" t="inlineStr">
        <is>
          <t>i28</t>
        </is>
      </c>
      <c r="B30" s="13" t="n">
        <v>75.9627</v>
      </c>
      <c r="C30" s="13" t="n">
        <v>77.5936</v>
      </c>
      <c r="D30" s="13" t="n">
        <v>49.6079</v>
      </c>
      <c r="E30" s="13" t="n">
        <v>88.43859999999999</v>
      </c>
      <c r="F30" s="13" t="n">
        <v>37.3904</v>
      </c>
      <c r="G30" s="13" t="n">
        <v>65.4636</v>
      </c>
    </row>
    <row r="31" ht="18" customHeight="1" s="19">
      <c r="A31" s="6" t="inlineStr">
        <is>
          <t>i29</t>
        </is>
      </c>
      <c r="B31" s="8" t="n">
        <v>38.5956</v>
      </c>
      <c r="C31" s="8" t="n">
        <v>52.3314</v>
      </c>
      <c r="D31" s="8" t="n">
        <v>13.7579</v>
      </c>
      <c r="E31" s="8" t="n">
        <v>47.1932</v>
      </c>
      <c r="F31" s="8" t="n">
        <v>37.331</v>
      </c>
      <c r="G31" s="8" t="n">
        <v>19.5179</v>
      </c>
    </row>
    <row r="32" ht="18" customHeight="1" s="19">
      <c r="A32" s="9" t="inlineStr">
        <is>
          <t>i30</t>
        </is>
      </c>
      <c r="B32" s="13" t="n">
        <v>34.2384</v>
      </c>
      <c r="C32" s="13" t="n">
        <v>51.5152</v>
      </c>
      <c r="D32" s="13" t="n">
        <v>16.4897</v>
      </c>
      <c r="E32" s="13" t="n">
        <v>40.4057</v>
      </c>
      <c r="F32" s="13" t="n">
        <v>44.3754</v>
      </c>
      <c r="G32" s="13" t="n">
        <v>10.0408</v>
      </c>
    </row>
    <row r="33" ht="18" customHeight="1" s="19">
      <c r="A33" s="6" t="inlineStr">
        <is>
          <t>i31</t>
        </is>
      </c>
      <c r="B33" s="8" t="n">
        <v>21.1422</v>
      </c>
      <c r="C33" s="8" t="n">
        <v>36.1066</v>
      </c>
      <c r="D33" s="8" t="n">
        <v>8.0024</v>
      </c>
      <c r="E33" s="8" t="n">
        <v>31.2996</v>
      </c>
      <c r="F33" s="8" t="n">
        <v>35.5025</v>
      </c>
      <c r="G33" s="8" t="n">
        <v>21.3497</v>
      </c>
    </row>
    <row r="34" ht="18" customHeight="1" s="19">
      <c r="A34" s="9" t="inlineStr">
        <is>
          <t>i32</t>
        </is>
      </c>
      <c r="B34" s="13" t="n">
        <v>38.2121</v>
      </c>
      <c r="C34" s="13" t="n">
        <v>58.5593</v>
      </c>
      <c r="D34" s="13" t="n">
        <v>27.9746</v>
      </c>
      <c r="E34" s="13" t="n">
        <v>39.9935</v>
      </c>
      <c r="F34" s="13" t="n">
        <v>56.521</v>
      </c>
      <c r="G34" s="13" t="n">
        <v>3.2187</v>
      </c>
    </row>
    <row r="35" ht="18" customHeight="1" s="19">
      <c r="A35" s="6" t="inlineStr">
        <is>
          <t>i33</t>
        </is>
      </c>
      <c r="B35" s="8" t="n">
        <v>48.8992</v>
      </c>
      <c r="C35" s="8" t="n">
        <v>68.69370000000001</v>
      </c>
      <c r="D35" s="8" t="n">
        <v>35.1362</v>
      </c>
      <c r="E35" s="8" t="n">
        <v>50.6539</v>
      </c>
      <c r="F35" s="8" t="n">
        <v>61.9674</v>
      </c>
      <c r="G35" s="8" t="n">
        <v>13.6496</v>
      </c>
    </row>
    <row r="36" ht="18" customHeight="1" s="19">
      <c r="A36" s="9" t="inlineStr">
        <is>
          <t>i34</t>
        </is>
      </c>
      <c r="B36" s="13" t="n">
        <v>20.1822</v>
      </c>
      <c r="C36" s="13" t="n">
        <v>41.01</v>
      </c>
      <c r="D36" s="13" t="n">
        <v>19.9487</v>
      </c>
      <c r="E36" s="13" t="n">
        <v>24.2423</v>
      </c>
      <c r="F36" s="13" t="n">
        <v>47.9732</v>
      </c>
      <c r="G36" s="13" t="n">
        <v>15.0757</v>
      </c>
    </row>
    <row r="37" ht="18" customHeight="1" s="19">
      <c r="A37" s="6" t="inlineStr">
        <is>
          <t>i35</t>
        </is>
      </c>
      <c r="B37" s="8" t="n">
        <v>48.3769</v>
      </c>
      <c r="C37" s="8" t="n">
        <v>45.7248</v>
      </c>
      <c r="D37" s="8" t="n">
        <v>28.1989</v>
      </c>
      <c r="E37" s="8" t="n">
        <v>62.2809</v>
      </c>
      <c r="F37" s="8" t="n">
        <v>5.4646</v>
      </c>
      <c r="G37" s="8" t="n">
        <v>52.1626</v>
      </c>
    </row>
    <row r="38" ht="18" customHeight="1" s="19">
      <c r="A38" s="9" t="inlineStr">
        <is>
          <t>i36</t>
        </is>
      </c>
      <c r="B38" s="13" t="n">
        <v>58.9938</v>
      </c>
      <c r="C38" s="13" t="n">
        <v>50.3112</v>
      </c>
      <c r="D38" s="13" t="n">
        <v>43.1567</v>
      </c>
      <c r="E38" s="13" t="n">
        <v>73.3154</v>
      </c>
      <c r="F38" s="13" t="n">
        <v>14.1184</v>
      </c>
      <c r="G38" s="13" t="n">
        <v>67.7268</v>
      </c>
    </row>
    <row r="39" ht="18" customHeight="1" s="19">
      <c r="A39" s="6" t="inlineStr">
        <is>
          <t>i37</t>
        </is>
      </c>
      <c r="B39" s="8" t="n">
        <v>60.8286</v>
      </c>
      <c r="C39" s="8" t="n">
        <v>57.9959</v>
      </c>
      <c r="D39" s="8" t="n">
        <v>38.6078</v>
      </c>
      <c r="E39" s="8" t="n">
        <v>74.5646</v>
      </c>
      <c r="F39" s="8" t="n">
        <v>16.5693</v>
      </c>
      <c r="G39" s="8" t="n">
        <v>60.7057</v>
      </c>
    </row>
    <row r="40" ht="18" customHeight="1" s="19">
      <c r="A40" s="9" t="inlineStr">
        <is>
          <t>i38</t>
        </is>
      </c>
      <c r="B40" s="13" t="n">
        <v>75.90649999999999</v>
      </c>
      <c r="C40" s="13" t="n">
        <v>88.654</v>
      </c>
      <c r="D40" s="13" t="n">
        <v>101.3166</v>
      </c>
      <c r="E40" s="13" t="n">
        <v>62.4127</v>
      </c>
      <c r="F40" s="13" t="n">
        <v>122.0543</v>
      </c>
      <c r="G40" s="13" t="n">
        <v>95.7899</v>
      </c>
    </row>
    <row r="41" ht="18" customHeight="1" s="19">
      <c r="A41" s="6" t="inlineStr">
        <is>
          <t>i39</t>
        </is>
      </c>
      <c r="B41" s="8" t="n">
        <v>99.71720000000001</v>
      </c>
      <c r="C41" s="8" t="n">
        <v>112.4648</v>
      </c>
      <c r="D41" s="8" t="n">
        <v>125.1273</v>
      </c>
      <c r="E41" s="8" t="n">
        <v>86.2234</v>
      </c>
      <c r="F41" s="8" t="n">
        <v>145.8651</v>
      </c>
      <c r="G41" s="8" t="n">
        <v>119.6006</v>
      </c>
    </row>
    <row r="42" ht="18" customHeight="1" s="19">
      <c r="A42" s="9" t="inlineStr">
        <is>
          <t>i40</t>
        </is>
      </c>
      <c r="B42" s="13" t="n">
        <v>59.6159</v>
      </c>
      <c r="C42" s="13" t="n">
        <v>50.9817</v>
      </c>
      <c r="D42" s="13" t="n">
        <v>84.6994</v>
      </c>
      <c r="E42" s="13" t="n">
        <v>60.8131</v>
      </c>
      <c r="F42" s="13" t="n">
        <v>92.3258</v>
      </c>
      <c r="G42" s="13" t="n">
        <v>94.6037</v>
      </c>
    </row>
  </sheetData>
  <autoFilter ref="A2:G42"/>
  <mergeCells count="1">
    <mergeCell ref="A1:G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K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4.4"/>
  <cols>
    <col width="14" customWidth="1" style="19" min="1" max="1"/>
    <col width="12" customWidth="1" style="19" min="2" max="11"/>
  </cols>
  <sheetData>
    <row r="1" ht="18" customHeight="1" s="19">
      <c r="A1" s="21" t="inlineStr">
        <is>
          <t>Recovery centre to WTE plant, generalised km</t>
        </is>
      </c>
    </row>
    <row r="2" ht="31.95" customHeight="1" s="19">
      <c r="A2" s="1" t="inlineStr">
        <is>
          <t>From \ to</t>
        </is>
      </c>
      <c r="B2" s="1" t="inlineStr">
        <is>
          <t>b1</t>
        </is>
      </c>
      <c r="C2" s="1" t="inlineStr">
        <is>
          <t>b2</t>
        </is>
      </c>
      <c r="D2" s="1" t="inlineStr">
        <is>
          <t>b3</t>
        </is>
      </c>
      <c r="E2" s="1" t="inlineStr">
        <is>
          <t>b4</t>
        </is>
      </c>
      <c r="F2" s="1" t="inlineStr">
        <is>
          <t>b5</t>
        </is>
      </c>
      <c r="G2" s="1" t="inlineStr">
        <is>
          <t>b6</t>
        </is>
      </c>
      <c r="H2" s="1" t="inlineStr">
        <is>
          <t>b7</t>
        </is>
      </c>
      <c r="I2" s="1" t="inlineStr">
        <is>
          <t>b8</t>
        </is>
      </c>
      <c r="J2" s="1" t="inlineStr">
        <is>
          <t>b9</t>
        </is>
      </c>
      <c r="K2" s="1" t="inlineStr">
        <is>
          <t>b10</t>
        </is>
      </c>
    </row>
    <row r="3" ht="18" customHeight="1" s="19">
      <c r="A3" s="6" t="inlineStr">
        <is>
          <t>j1</t>
        </is>
      </c>
      <c r="B3" s="8" t="n">
        <v>28.319</v>
      </c>
      <c r="C3" s="8" t="n">
        <v>70.41500000000001</v>
      </c>
      <c r="D3" s="8" t="n">
        <v>49.6055</v>
      </c>
      <c r="E3" s="8" t="n">
        <v>45.0907</v>
      </c>
      <c r="F3" s="8" t="n">
        <v>45.2271</v>
      </c>
      <c r="G3" s="8" t="n">
        <v>11.3482</v>
      </c>
      <c r="H3" s="8" t="n">
        <v>24.4682</v>
      </c>
      <c r="I3" s="8" t="n">
        <v>79.008</v>
      </c>
      <c r="J3" s="8" t="n">
        <v>60.4226</v>
      </c>
      <c r="K3" s="8" t="n">
        <v>28.1396</v>
      </c>
    </row>
    <row r="4" ht="18" customHeight="1" s="19">
      <c r="A4" s="9" t="inlineStr">
        <is>
          <t>j2</t>
        </is>
      </c>
      <c r="B4" s="13" t="n">
        <v>8.2394</v>
      </c>
      <c r="C4" s="13" t="n">
        <v>52.6166</v>
      </c>
      <c r="D4" s="13" t="n">
        <v>41.8515</v>
      </c>
      <c r="E4" s="13" t="n">
        <v>58.7547</v>
      </c>
      <c r="F4" s="13" t="n">
        <v>64.9144</v>
      </c>
      <c r="G4" s="13" t="n">
        <v>34.0447</v>
      </c>
      <c r="H4" s="13" t="n">
        <v>35.6289</v>
      </c>
      <c r="I4" s="13" t="n">
        <v>91.7556</v>
      </c>
      <c r="J4" s="13" t="n">
        <v>67.0647</v>
      </c>
      <c r="K4" s="13" t="n">
        <v>30.901</v>
      </c>
    </row>
    <row r="5" ht="18" customHeight="1" s="19">
      <c r="A5" s="6" t="inlineStr">
        <is>
          <t>j3</t>
        </is>
      </c>
      <c r="B5" s="8" t="n">
        <v>38.335</v>
      </c>
      <c r="C5" s="8" t="n">
        <v>65.2033</v>
      </c>
      <c r="D5" s="8" t="n">
        <v>34.8668</v>
      </c>
      <c r="E5" s="8" t="n">
        <v>20.0405</v>
      </c>
      <c r="F5" s="8" t="n">
        <v>31.6175</v>
      </c>
      <c r="G5" s="8" t="n">
        <v>28.0578</v>
      </c>
      <c r="H5" s="8" t="n">
        <v>51.5301</v>
      </c>
      <c r="I5" s="8" t="n">
        <v>104.4181</v>
      </c>
      <c r="J5" s="8" t="n">
        <v>32.79</v>
      </c>
      <c r="K5" s="8" t="n">
        <v>12.5658</v>
      </c>
    </row>
    <row r="6" ht="18" customHeight="1" s="19">
      <c r="A6" s="9" t="inlineStr">
        <is>
          <t>j4</t>
        </is>
      </c>
      <c r="B6" s="13" t="n">
        <v>40.3905</v>
      </c>
      <c r="C6" s="13" t="n">
        <v>83.94</v>
      </c>
      <c r="D6" s="13" t="n">
        <v>63.9254</v>
      </c>
      <c r="E6" s="13" t="n">
        <v>53.2122</v>
      </c>
      <c r="F6" s="13" t="n">
        <v>47.4084</v>
      </c>
      <c r="G6" s="13" t="n">
        <v>11.8638</v>
      </c>
      <c r="H6" s="13" t="n">
        <v>13.6899</v>
      </c>
      <c r="I6" s="13" t="n">
        <v>65.5142</v>
      </c>
      <c r="J6" s="13" t="n">
        <v>71.51519999999999</v>
      </c>
      <c r="K6" s="13" t="n">
        <v>41.8741</v>
      </c>
    </row>
    <row r="7" ht="18" customHeight="1" s="19">
      <c r="A7" s="6" t="inlineStr">
        <is>
          <t>j5</t>
        </is>
      </c>
      <c r="B7" s="8" t="n">
        <v>35.3963</v>
      </c>
      <c r="C7" s="8" t="n">
        <v>39.1606</v>
      </c>
      <c r="D7" s="8" t="n">
        <v>6.3545</v>
      </c>
      <c r="E7" s="8" t="n">
        <v>40.5423</v>
      </c>
      <c r="F7" s="8" t="n">
        <v>58.8763</v>
      </c>
      <c r="G7" s="8" t="n">
        <v>52.3045</v>
      </c>
      <c r="H7" s="8" t="n">
        <v>69.89190000000001</v>
      </c>
      <c r="I7" s="8" t="n">
        <v>125.1559</v>
      </c>
      <c r="J7" s="8" t="n">
        <v>33.5439</v>
      </c>
      <c r="K7" s="8" t="n">
        <v>19.2704</v>
      </c>
    </row>
    <row r="8" ht="18" customHeight="1" s="19">
      <c r="A8" s="9" t="inlineStr">
        <is>
          <t>j6</t>
        </is>
      </c>
      <c r="B8" s="13" t="n">
        <v>57.9937</v>
      </c>
      <c r="C8" s="13" t="n">
        <v>90.13120000000001</v>
      </c>
      <c r="D8" s="13" t="n">
        <v>59.8017</v>
      </c>
      <c r="E8" s="13" t="n">
        <v>22.1232</v>
      </c>
      <c r="F8" s="13" t="n">
        <v>10.0202</v>
      </c>
      <c r="G8" s="13" t="n">
        <v>26.7612</v>
      </c>
      <c r="H8" s="13" t="n">
        <v>51.2204</v>
      </c>
      <c r="I8" s="13" t="n">
        <v>98.8914</v>
      </c>
      <c r="J8" s="13" t="n">
        <v>45.2228</v>
      </c>
      <c r="K8" s="13" t="n">
        <v>37.2555</v>
      </c>
    </row>
  </sheetData>
  <autoFilter ref="A2:K8"/>
  <mergeCells count="1">
    <mergeCell ref="A1:K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8"/>
  <sheetViews>
    <sheetView showGridLines="0" workbookViewId="0">
      <pane xSplit="1" ySplit="2" topLeftCell="B5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4"/>
  <cols>
    <col width="14" customWidth="1" style="19" min="1" max="1"/>
    <col width="12" customWidth="1" style="19" min="2" max="4"/>
  </cols>
  <sheetData>
    <row r="1" ht="18" customHeight="1" s="19">
      <c r="A1" s="21" t="inlineStr">
        <is>
          <t>Recovery centre to landfill, generalised km</t>
        </is>
      </c>
    </row>
    <row r="2" ht="31.95" customHeight="1" s="19">
      <c r="A2" s="1" t="inlineStr">
        <is>
          <t>From \ to</t>
        </is>
      </c>
      <c r="B2" s="1" t="inlineStr">
        <is>
          <t>l1</t>
        </is>
      </c>
      <c r="C2" s="1" t="inlineStr">
        <is>
          <t>l2</t>
        </is>
      </c>
      <c r="D2" s="1" t="inlineStr">
        <is>
          <t>l3</t>
        </is>
      </c>
    </row>
    <row r="3" ht="18" customHeight="1" s="19">
      <c r="A3" s="6" t="inlineStr">
        <is>
          <t>j1</t>
        </is>
      </c>
      <c r="B3" s="8" t="n">
        <v>77.0201</v>
      </c>
      <c r="C3" s="8" t="n">
        <v>46.6356</v>
      </c>
      <c r="D3" s="8" t="n">
        <v>78.3569</v>
      </c>
    </row>
    <row r="4" ht="18" customHeight="1" s="19">
      <c r="A4" s="9" t="inlineStr">
        <is>
          <t>j2</t>
        </is>
      </c>
      <c r="B4" s="13" t="n">
        <v>59.2101</v>
      </c>
      <c r="C4" s="13" t="n">
        <v>66.8745</v>
      </c>
      <c r="D4" s="13" t="n">
        <v>91.1044</v>
      </c>
    </row>
    <row r="5" ht="18" customHeight="1" s="19">
      <c r="A5" s="6" t="inlineStr">
        <is>
          <t>j3</t>
        </is>
      </c>
      <c r="B5" s="8" t="n">
        <v>71.06870000000001</v>
      </c>
      <c r="C5" s="8" t="n">
        <v>34.5194</v>
      </c>
      <c r="D5" s="8" t="n">
        <v>103.767</v>
      </c>
    </row>
    <row r="6" ht="18" customHeight="1" s="19">
      <c r="A6" s="9" t="inlineStr">
        <is>
          <t>j4</t>
        </is>
      </c>
      <c r="B6" s="13" t="n">
        <v>90.5735</v>
      </c>
      <c r="C6" s="13" t="n">
        <v>47.8592</v>
      </c>
      <c r="D6" s="13" t="n">
        <v>64.8631</v>
      </c>
    </row>
    <row r="7" ht="18" customHeight="1" s="19">
      <c r="A7" s="6" t="inlineStr">
        <is>
          <t>j5</t>
        </is>
      </c>
      <c r="B7" s="8" t="n">
        <v>44.1782</v>
      </c>
      <c r="C7" s="8" t="n">
        <v>62.0425</v>
      </c>
      <c r="D7" s="8" t="n">
        <v>124.5047</v>
      </c>
    </row>
    <row r="8" ht="18" customHeight="1" s="19">
      <c r="A8" s="9" t="inlineStr">
        <is>
          <t>j6</t>
        </is>
      </c>
      <c r="B8" s="13" t="n">
        <v>96.0819</v>
      </c>
      <c r="C8" s="13" t="n">
        <v>11.5065</v>
      </c>
      <c r="D8" s="13" t="n">
        <v>98.2403</v>
      </c>
    </row>
  </sheetData>
  <autoFilter ref="A2:D8"/>
  <mergeCells count="1">
    <mergeCell ref="A1:D1"/>
  </mergeCells>
  <pageMargins left="0.5" right="0.5" top="0.6" bottom="0.6" header="0.5" footer="0.5"/>
  <pageSetup orientation="landscape" paperSize="9" fitToHeight="0"/>
  <headerFooter>
    <oddHeader>&amp;LShanghai WTE instance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Reza Rahmati</dc:creator>
  <dcterms:created xmlns:dcterms="http://purl.org/dc/terms/" xmlns:xsi="http://www.w3.org/2001/XMLSchema-instance" xsi:type="dcterms:W3CDTF">2026-10-19T11:51:37Z</dcterms:created>
  <dcterms:modified xmlns:dcterms="http://purl.org/dc/terms/" xmlns:xsi="http://www.w3.org/2001/XMLSchema-instance" xsi:type="dcterms:W3CDTF">2026-10-19T12:06:02Z</dcterms:modified>
  <cp:lastModifiedBy>Reza Rahmati</cp:lastModifiedBy>
</cp:coreProperties>
</file>